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2A68E2EA-8180-45A0-91CF-D82FEF7FD13B}" xr6:coauthVersionLast="47" xr6:coauthVersionMax="47" xr10:uidLastSave="{00000000-0000-0000-0000-000000000000}"/>
  <bookViews>
    <workbookView xWindow="-108" yWindow="-108" windowWidth="23256" windowHeight="12456" tabRatio="825" firstSheet="1" activeTab="6" xr2:uid="{00000000-000D-0000-FFFF-FFFF00000000}"/>
  </bookViews>
  <sheets>
    <sheet name="Raw Dataset" sheetId="2" r:id="rId1"/>
    <sheet name="Handling Missing Values" sheetId="3" r:id="rId2"/>
    <sheet name="Correcting inconsistent data" sheetId="4" r:id="rId3"/>
    <sheet name="Removing Duplicates" sheetId="5" r:id="rId4"/>
    <sheet name="Splitting and Merging Data" sheetId="6" r:id="rId5"/>
    <sheet name="Number Formatting" sheetId="7" r:id="rId6"/>
    <sheet name="Conditional Formatting" sheetId="8" r:id="rId7"/>
  </sheets>
  <definedNames>
    <definedName name="_xlnm._FilterDatabase" localSheetId="1" hidden="1">'Handling Missing Values'!$A$1:$K$35</definedName>
  </definedNames>
  <calcPr calcId="191029"/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H28" i="5" s="1"/>
  <c r="I28" i="5" s="1"/>
  <c r="G29" i="5"/>
  <c r="G30" i="5"/>
  <c r="G31" i="5"/>
  <c r="G3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9" i="5"/>
  <c r="H30" i="5"/>
  <c r="H31" i="5"/>
  <c r="H32" i="5"/>
  <c r="I32" i="5" s="1"/>
  <c r="I31" i="5"/>
  <c r="I30" i="5"/>
  <c r="I29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21" i="6"/>
  <c r="I3" i="6"/>
  <c r="J3" i="6" s="1"/>
  <c r="I4" i="6"/>
  <c r="J4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 s="1"/>
  <c r="I28" i="6"/>
  <c r="J28" i="6" s="1"/>
  <c r="I29" i="6"/>
  <c r="J29" i="6" s="1"/>
  <c r="I30" i="6"/>
  <c r="J30" i="6" s="1"/>
  <c r="I31" i="6"/>
  <c r="J31" i="6" s="1"/>
  <c r="I32" i="6"/>
  <c r="J32" i="6" s="1"/>
  <c r="I2" i="6"/>
  <c r="J2" i="6" s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2" i="6"/>
  <c r="G2" i="3"/>
  <c r="H2" i="3" s="1"/>
  <c r="K5" i="3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" i="4"/>
  <c r="H3" i="4" s="1"/>
  <c r="I3" i="4" s="1"/>
  <c r="G4" i="4"/>
  <c r="H4" i="4" s="1"/>
  <c r="I4" i="4" s="1"/>
  <c r="G5" i="4"/>
  <c r="H5" i="4" s="1"/>
  <c r="I5" i="4" s="1"/>
  <c r="G6" i="4"/>
  <c r="H6" i="4" s="1"/>
  <c r="I6" i="4" s="1"/>
  <c r="G7" i="4"/>
  <c r="H7" i="4" s="1"/>
  <c r="I7" i="4" s="1"/>
  <c r="G8" i="4"/>
  <c r="H8" i="4" s="1"/>
  <c r="I8" i="4" s="1"/>
  <c r="G9" i="4"/>
  <c r="H9" i="4" s="1"/>
  <c r="I9" i="4" s="1"/>
  <c r="G10" i="4"/>
  <c r="H10" i="4" s="1"/>
  <c r="I10" i="4" s="1"/>
  <c r="G11" i="4"/>
  <c r="H11" i="4" s="1"/>
  <c r="I11" i="4" s="1"/>
  <c r="G12" i="4"/>
  <c r="H12" i="4" s="1"/>
  <c r="I12" i="4" s="1"/>
  <c r="G13" i="4"/>
  <c r="H13" i="4" s="1"/>
  <c r="I13" i="4" s="1"/>
  <c r="G14" i="4"/>
  <c r="H14" i="4" s="1"/>
  <c r="I14" i="4" s="1"/>
  <c r="G15" i="4"/>
  <c r="H15" i="4" s="1"/>
  <c r="I15" i="4" s="1"/>
  <c r="G16" i="4"/>
  <c r="H16" i="4" s="1"/>
  <c r="I16" i="4" s="1"/>
  <c r="G17" i="4"/>
  <c r="H17" i="4" s="1"/>
  <c r="I17" i="4" s="1"/>
  <c r="G18" i="4"/>
  <c r="H18" i="4" s="1"/>
  <c r="I18" i="4" s="1"/>
  <c r="G19" i="4"/>
  <c r="H19" i="4" s="1"/>
  <c r="I19" i="4" s="1"/>
  <c r="G20" i="4"/>
  <c r="H20" i="4" s="1"/>
  <c r="I20" i="4" s="1"/>
  <c r="G21" i="4"/>
  <c r="H21" i="4" s="1"/>
  <c r="I21" i="4" s="1"/>
  <c r="G22" i="4"/>
  <c r="H22" i="4" s="1"/>
  <c r="I22" i="4" s="1"/>
  <c r="G23" i="4"/>
  <c r="H23" i="4" s="1"/>
  <c r="I23" i="4" s="1"/>
  <c r="G24" i="4"/>
  <c r="H24" i="4" s="1"/>
  <c r="I24" i="4" s="1"/>
  <c r="G25" i="4"/>
  <c r="H25" i="4" s="1"/>
  <c r="I25" i="4" s="1"/>
  <c r="G26" i="4"/>
  <c r="H26" i="4" s="1"/>
  <c r="I26" i="4" s="1"/>
  <c r="G27" i="4"/>
  <c r="H27" i="4" s="1"/>
  <c r="I27" i="4" s="1"/>
  <c r="G28" i="4"/>
  <c r="H28" i="4" s="1"/>
  <c r="I28" i="4" s="1"/>
  <c r="G29" i="4"/>
  <c r="H29" i="4" s="1"/>
  <c r="I29" i="4" s="1"/>
  <c r="G30" i="4"/>
  <c r="H30" i="4" s="1"/>
  <c r="I30" i="4" s="1"/>
  <c r="G31" i="4"/>
  <c r="H31" i="4" s="1"/>
  <c r="I31" i="4" s="1"/>
  <c r="G32" i="4"/>
  <c r="H32" i="4" s="1"/>
  <c r="I32" i="4" s="1"/>
  <c r="G33" i="4"/>
  <c r="H33" i="4" s="1"/>
  <c r="I33" i="4" s="1"/>
  <c r="G34" i="4"/>
  <c r="H34" i="4" s="1"/>
  <c r="I34" i="4" s="1"/>
  <c r="G35" i="4"/>
  <c r="H35" i="4" s="1"/>
  <c r="I35" i="4" s="1"/>
  <c r="G2" i="4"/>
  <c r="H2" i="4" s="1"/>
  <c r="I2" i="4" s="1"/>
</calcChain>
</file>

<file path=xl/sharedStrings.xml><?xml version="1.0" encoding="utf-8"?>
<sst xmlns="http://schemas.openxmlformats.org/spreadsheetml/2006/main" count="1226" uniqueCount="152">
  <si>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</si>
  <si>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</si>
  <si>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</si>
  <si>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</si>
  <si>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</si>
  <si>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</si>
  <si>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</si>
  <si>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</si>
  <si>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</si>
  <si>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</si>
  <si>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</si>
  <si>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</si>
  <si>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</si>
  <si>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</si>
  <si>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</si>
  <si>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</si>
  <si>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</si>
  <si>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</si>
  <si>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</si>
  <si>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</si>
  <si>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</si>
  <si>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</si>
  <si>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</si>
  <si>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</si>
  <si>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</si>
  <si>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</si>
  <si>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</si>
  <si>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</si>
  <si>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</si>
  <si>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</si>
  <si>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</si>
  <si>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</si>
  <si>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</si>
  <si>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</si>
  <si>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</si>
  <si>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</si>
  <si>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</si>
  <si>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</si>
  <si>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</si>
  <si>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</si>
  <si>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</si>
  <si>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</si>
  <si>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</si>
  <si>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</si>
  <si>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</si>
  <si>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</si>
  <si>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</si>
  <si>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</si>
  <si>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</si>
  <si>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</si>
  <si>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</si>
  <si>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</si>
  <si>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</si>
  <si>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</si>
  <si>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</si>
  <si>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</si>
  <si>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</si>
  <si>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</si>
  <si>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</si>
  <si>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</si>
  <si>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</si>
  <si>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</si>
  <si>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</si>
  <si>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</si>
  <si>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</si>
  <si>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</si>
  <si>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</si>
  <si>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</si>
  <si>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</si>
  <si>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</si>
  <si>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</si>
  <si>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</si>
  <si>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</si>
  <si>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</si>
  <si>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</si>
  <si>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</si>
  <si>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</si>
  <si>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</si>
  <si>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</si>
  <si>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</si>
  <si>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</si>
  <si>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</si>
  <si>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</si>
  <si>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</si>
  <si>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</si>
  <si>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</si>
  <si>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</si>
  <si>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</si>
  <si>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</si>
  <si>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</si>
  <si>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</si>
  <si>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</si>
  <si>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</si>
  <si>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</si>
  <si>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</si>
  <si>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</si>
  <si>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</si>
  <si>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PROPER</t>
  </si>
  <si>
    <t>TRIM</t>
  </si>
  <si>
    <t>Cleaned Product Name</t>
  </si>
  <si>
    <t>Cleaned Category</t>
  </si>
  <si>
    <t>Manufacturing Date</t>
  </si>
  <si>
    <t>Country Code</t>
  </si>
  <si>
    <t>Imputed Price</t>
  </si>
  <si>
    <t>Number of Blanks</t>
  </si>
  <si>
    <t>ISBLANK Price</t>
  </si>
  <si>
    <t>T-Shirt</t>
  </si>
  <si>
    <t>Product Brand</t>
  </si>
  <si>
    <t>US</t>
  </si>
  <si>
    <t>Laptop Dell</t>
  </si>
  <si>
    <t>Sneakers Nike</t>
  </si>
  <si>
    <t>Coffee Maker Keurig</t>
  </si>
  <si>
    <t>Smartphone Samsung</t>
  </si>
  <si>
    <t>Backpack North Face</t>
  </si>
  <si>
    <t>UK</t>
  </si>
  <si>
    <t>Headphones Sony</t>
  </si>
  <si>
    <t>T-Shirt Adidas</t>
  </si>
  <si>
    <t>Blender Ninja</t>
  </si>
  <si>
    <t>Tablet Apple</t>
  </si>
  <si>
    <t>Hiking Boots Timberland</t>
  </si>
  <si>
    <t>IN</t>
  </si>
  <si>
    <t>Laptop HP</t>
  </si>
  <si>
    <t>AU</t>
  </si>
  <si>
    <t>Sneakers Adidas</t>
  </si>
  <si>
    <t>DE</t>
  </si>
  <si>
    <t>Coffee Maker Nespresso</t>
  </si>
  <si>
    <t>CA</t>
  </si>
  <si>
    <t>Smartwatch Fitbit</t>
  </si>
  <si>
    <t>ES</t>
  </si>
  <si>
    <t>Headphones Bose</t>
  </si>
  <si>
    <t>Laptop Bag Samsonite</t>
  </si>
  <si>
    <t>CN</t>
  </si>
  <si>
    <t>Smartwatch Huawei</t>
  </si>
  <si>
    <t>IT</t>
  </si>
  <si>
    <t>Laptop Asus</t>
  </si>
  <si>
    <t>Sunglasses Oakley</t>
  </si>
  <si>
    <t>Camping Tent Coleman</t>
  </si>
  <si>
    <t>RU</t>
  </si>
  <si>
    <t>Camera Nikon</t>
  </si>
  <si>
    <t>Microwave Panasonic</t>
  </si>
  <si>
    <t>BR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</si>
  <si>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</si>
  <si>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</si>
  <si>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</si>
  <si>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</si>
  <si>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</si>
  <si>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</si>
  <si>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</si>
  <si>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</si>
  <si>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FR</t>
  </si>
  <si>
    <t>Watch Casio</t>
  </si>
  <si>
    <t>Imputed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</si>
</sst>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4009]dd/mm/yyyy;@"/>
    <numFmt numFmtId="165" formatCode="[$$-409]#,##0.00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4" borderId="0" xfId="0" applyFont="1" applyFill="1"/>
    <xf numFmtId="0" fontId="5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opLeftCell="A10" workbookViewId="0">
      <selection sqref="A1:F35"/>
    </sheetView>
  </sheetViews>
  <sheetFormatPr defaultColWidth="12.6640625" defaultRowHeight="15" customHeight="1"/>
  <cols>
    <col min="1" max="6" width="12.6640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3547-4094-4E28-BA8B-58C7DC2F8C6A}">
  <dimension ref="A1:K35"/>
  <sheetViews>
    <sheetView workbookViewId="0">
      <selection activeCell="F1" sqref="F1"/>
    </sheetView>
  </sheetViews>
  <sheetFormatPr defaultRowHeight="13.2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7" width="14.109375" bestFit="1" customWidth="1"/>
    <col min="8" max="8" width="13.109375" bestFit="1" customWidth="1"/>
    <col min="9" max="10" width="16.6640625" bestFit="1" customWidth="1"/>
    <col min="11" max="11" width="4.109375" customWidth="1"/>
    <col min="12" max="12" width="6.8867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105</v>
      </c>
      <c r="H1" s="12" t="s">
        <v>103</v>
      </c>
      <c r="I1" s="13" t="s">
        <v>151</v>
      </c>
    </row>
    <row r="2" spans="1:11">
      <c r="A2" s="9" t="s">
        <v>6</v>
      </c>
      <c r="B2" s="9" t="s">
        <v>7</v>
      </c>
      <c r="C2" s="9" t="s">
        <v>8</v>
      </c>
      <c r="D2" s="9">
        <v>1000</v>
      </c>
      <c r="E2" s="9">
        <v>30</v>
      </c>
      <c r="F2" s="9" t="s">
        <v>9</v>
      </c>
      <c r="G2" s="6">
        <f t="shared" ref="G2:G35" si="0">IF(ISBLANK(D2),"Blank",D2)</f>
        <v>1000</v>
      </c>
      <c r="H2" s="6">
        <f>IF(G2="Blank",MEDIAN(G2:G35),G2)</f>
        <v>1000</v>
      </c>
      <c r="I2" s="6" t="s">
        <v>9</v>
      </c>
    </row>
    <row r="3" spans="1:11">
      <c r="A3" s="10" t="s">
        <v>10</v>
      </c>
      <c r="B3" s="10" t="s">
        <v>11</v>
      </c>
      <c r="C3" s="10" t="s">
        <v>12</v>
      </c>
      <c r="D3" s="10">
        <v>80</v>
      </c>
      <c r="E3" s="10">
        <v>15</v>
      </c>
      <c r="F3" s="10" t="s">
        <v>13</v>
      </c>
      <c r="G3" s="6">
        <f t="shared" si="0"/>
        <v>80</v>
      </c>
      <c r="H3" s="6">
        <f t="shared" ref="H3:H35" si="1">IF(G3="Blank",MEDIAN(G3:G36),G3)</f>
        <v>80</v>
      </c>
      <c r="I3" s="6" t="s">
        <v>13</v>
      </c>
    </row>
    <row r="4" spans="1:11">
      <c r="A4" s="9" t="s">
        <v>14</v>
      </c>
      <c r="B4" s="9" t="s">
        <v>15</v>
      </c>
      <c r="C4" s="9" t="s">
        <v>16</v>
      </c>
      <c r="D4" s="9">
        <v>130</v>
      </c>
      <c r="E4" s="9">
        <v>40</v>
      </c>
      <c r="F4" s="9" t="s">
        <v>17</v>
      </c>
      <c r="G4" s="6">
        <f t="shared" si="0"/>
        <v>130</v>
      </c>
      <c r="H4" s="6">
        <f t="shared" si="1"/>
        <v>130</v>
      </c>
      <c r="I4" s="6" t="s">
        <v>17</v>
      </c>
    </row>
    <row r="5" spans="1:11">
      <c r="A5" s="10" t="s">
        <v>18</v>
      </c>
      <c r="B5" s="10" t="s">
        <v>19</v>
      </c>
      <c r="C5" s="10" t="s">
        <v>20</v>
      </c>
      <c r="D5" s="10">
        <v>900</v>
      </c>
      <c r="E5" s="10">
        <v>25</v>
      </c>
      <c r="F5" s="10" t="s">
        <v>9</v>
      </c>
      <c r="G5" s="6">
        <f t="shared" si="0"/>
        <v>900</v>
      </c>
      <c r="H5" s="6">
        <f t="shared" si="1"/>
        <v>900</v>
      </c>
      <c r="I5" s="6" t="s">
        <v>9</v>
      </c>
      <c r="J5" s="7" t="s">
        <v>104</v>
      </c>
      <c r="K5" s="8">
        <f>COUNTBLANK(D2:D35)</f>
        <v>3</v>
      </c>
    </row>
    <row r="6" spans="1:11">
      <c r="A6" s="9" t="s">
        <v>21</v>
      </c>
      <c r="B6" s="9" t="s">
        <v>22</v>
      </c>
      <c r="C6" s="9" t="s">
        <v>23</v>
      </c>
      <c r="D6" s="9">
        <v>70</v>
      </c>
      <c r="E6" s="9">
        <v>20</v>
      </c>
      <c r="F6" s="9"/>
      <c r="G6" s="6">
        <f t="shared" si="0"/>
        <v>70</v>
      </c>
      <c r="H6" s="6">
        <f t="shared" si="1"/>
        <v>70</v>
      </c>
      <c r="I6" s="6" t="s">
        <v>56</v>
      </c>
    </row>
    <row r="7" spans="1:11">
      <c r="A7" s="10" t="s">
        <v>24</v>
      </c>
      <c r="B7" s="10" t="s">
        <v>25</v>
      </c>
      <c r="C7" s="10" t="s">
        <v>26</v>
      </c>
      <c r="D7" s="10"/>
      <c r="E7" s="10">
        <v>45</v>
      </c>
      <c r="F7" s="10" t="s">
        <v>27</v>
      </c>
      <c r="G7" s="6" t="str">
        <f t="shared" si="0"/>
        <v>Blank</v>
      </c>
      <c r="H7" s="6">
        <f t="shared" si="1"/>
        <v>140</v>
      </c>
      <c r="I7" s="6" t="s">
        <v>27</v>
      </c>
    </row>
    <row r="8" spans="1:11">
      <c r="A8" s="9" t="s">
        <v>28</v>
      </c>
      <c r="B8" s="9" t="s">
        <v>29</v>
      </c>
      <c r="C8" s="9" t="s">
        <v>30</v>
      </c>
      <c r="D8" s="9">
        <v>30</v>
      </c>
      <c r="E8" s="9">
        <v>5</v>
      </c>
      <c r="F8" s="9" t="s">
        <v>13</v>
      </c>
      <c r="G8" s="6">
        <f t="shared" si="0"/>
        <v>30</v>
      </c>
      <c r="H8" s="6">
        <f t="shared" si="1"/>
        <v>30</v>
      </c>
      <c r="I8" s="6" t="s">
        <v>13</v>
      </c>
    </row>
    <row r="9" spans="1:11">
      <c r="A9" s="10" t="s">
        <v>31</v>
      </c>
      <c r="B9" s="10" t="s">
        <v>32</v>
      </c>
      <c r="C9" s="10" t="s">
        <v>33</v>
      </c>
      <c r="D9" s="10">
        <v>90</v>
      </c>
      <c r="E9" s="10">
        <v>35</v>
      </c>
      <c r="F9" s="10" t="s">
        <v>17</v>
      </c>
      <c r="G9" s="6">
        <f t="shared" si="0"/>
        <v>90</v>
      </c>
      <c r="H9" s="6">
        <f t="shared" si="1"/>
        <v>90</v>
      </c>
      <c r="I9" s="6" t="s">
        <v>17</v>
      </c>
    </row>
    <row r="10" spans="1:11">
      <c r="A10" s="9" t="s">
        <v>34</v>
      </c>
      <c r="B10" s="9" t="s">
        <v>35</v>
      </c>
      <c r="C10" s="9" t="s">
        <v>36</v>
      </c>
      <c r="D10" s="9">
        <v>500</v>
      </c>
      <c r="E10" s="9">
        <v>50</v>
      </c>
      <c r="F10" s="9" t="s">
        <v>9</v>
      </c>
      <c r="G10" s="6">
        <f t="shared" si="0"/>
        <v>500</v>
      </c>
      <c r="H10" s="6">
        <f t="shared" si="1"/>
        <v>500</v>
      </c>
      <c r="I10" s="6" t="s">
        <v>9</v>
      </c>
    </row>
    <row r="11" spans="1:11">
      <c r="A11" s="10" t="s">
        <v>37</v>
      </c>
      <c r="B11" s="10" t="s">
        <v>38</v>
      </c>
      <c r="C11" s="10" t="s">
        <v>39</v>
      </c>
      <c r="D11" s="10">
        <v>130</v>
      </c>
      <c r="E11" s="10">
        <v>10</v>
      </c>
      <c r="F11" s="10" t="s">
        <v>40</v>
      </c>
      <c r="G11" s="6">
        <f t="shared" si="0"/>
        <v>130</v>
      </c>
      <c r="H11" s="6">
        <f t="shared" si="1"/>
        <v>130</v>
      </c>
      <c r="I11" s="6" t="s">
        <v>40</v>
      </c>
    </row>
    <row r="12" spans="1:11">
      <c r="A12" s="9" t="s">
        <v>41</v>
      </c>
      <c r="B12" s="9" t="s">
        <v>42</v>
      </c>
      <c r="C12" s="9" t="s">
        <v>43</v>
      </c>
      <c r="D12" s="9">
        <v>950</v>
      </c>
      <c r="E12" s="9">
        <v>25</v>
      </c>
      <c r="F12" s="9" t="s">
        <v>9</v>
      </c>
      <c r="G12" s="6">
        <f t="shared" si="0"/>
        <v>950</v>
      </c>
      <c r="H12" s="6">
        <f t="shared" si="1"/>
        <v>950</v>
      </c>
      <c r="I12" s="6" t="s">
        <v>9</v>
      </c>
    </row>
    <row r="13" spans="1:11">
      <c r="A13" s="10" t="s">
        <v>44</v>
      </c>
      <c r="B13" s="10" t="s">
        <v>11</v>
      </c>
      <c r="C13" s="10" t="s">
        <v>30</v>
      </c>
      <c r="D13" s="10">
        <v>90</v>
      </c>
      <c r="E13" s="10">
        <v>40</v>
      </c>
      <c r="F13" s="10"/>
      <c r="G13" s="6">
        <f t="shared" si="0"/>
        <v>90</v>
      </c>
      <c r="H13" s="6">
        <f t="shared" si="1"/>
        <v>90</v>
      </c>
      <c r="I13" s="6" t="s">
        <v>13</v>
      </c>
    </row>
    <row r="14" spans="1:11">
      <c r="A14" s="9" t="s">
        <v>45</v>
      </c>
      <c r="B14" s="9" t="s">
        <v>15</v>
      </c>
      <c r="C14" s="9" t="s">
        <v>46</v>
      </c>
      <c r="D14" s="9">
        <v>120</v>
      </c>
      <c r="E14" s="9">
        <v>35</v>
      </c>
      <c r="F14" s="9"/>
      <c r="G14" s="6">
        <f t="shared" si="0"/>
        <v>120</v>
      </c>
      <c r="H14" s="6">
        <f t="shared" si="1"/>
        <v>120</v>
      </c>
      <c r="I14" s="6" t="s">
        <v>17</v>
      </c>
    </row>
    <row r="15" spans="1:11">
      <c r="A15" s="10" t="s">
        <v>47</v>
      </c>
      <c r="B15" s="10" t="s">
        <v>48</v>
      </c>
      <c r="C15" s="10" t="s">
        <v>49</v>
      </c>
      <c r="D15" s="10">
        <v>150</v>
      </c>
      <c r="E15" s="10">
        <v>15</v>
      </c>
      <c r="F15" s="10" t="s">
        <v>27</v>
      </c>
      <c r="G15" s="6">
        <f t="shared" si="0"/>
        <v>150</v>
      </c>
      <c r="H15" s="6">
        <f t="shared" si="1"/>
        <v>150</v>
      </c>
      <c r="I15" s="6" t="s">
        <v>27</v>
      </c>
    </row>
    <row r="16" spans="1:11">
      <c r="A16" s="9" t="s">
        <v>50</v>
      </c>
      <c r="B16" s="9" t="s">
        <v>51</v>
      </c>
      <c r="C16" s="9" t="s">
        <v>52</v>
      </c>
      <c r="D16" s="9">
        <v>250</v>
      </c>
      <c r="E16" s="9">
        <v>20</v>
      </c>
      <c r="F16" s="9" t="s">
        <v>27</v>
      </c>
      <c r="G16" s="6">
        <f t="shared" si="0"/>
        <v>250</v>
      </c>
      <c r="H16" s="6">
        <f t="shared" si="1"/>
        <v>250</v>
      </c>
      <c r="I16" s="6" t="s">
        <v>27</v>
      </c>
    </row>
    <row r="17" spans="1:9">
      <c r="A17" s="10" t="s">
        <v>53</v>
      </c>
      <c r="B17" s="10" t="s">
        <v>54</v>
      </c>
      <c r="C17" s="10" t="s">
        <v>55</v>
      </c>
      <c r="D17" s="10">
        <v>50</v>
      </c>
      <c r="E17" s="10">
        <v>35</v>
      </c>
      <c r="F17" s="10" t="s">
        <v>56</v>
      </c>
      <c r="G17" s="6">
        <f t="shared" si="0"/>
        <v>50</v>
      </c>
      <c r="H17" s="6">
        <f t="shared" si="1"/>
        <v>50</v>
      </c>
      <c r="I17" s="6" t="s">
        <v>56</v>
      </c>
    </row>
    <row r="18" spans="1:9">
      <c r="A18" s="9" t="s">
        <v>57</v>
      </c>
      <c r="B18" s="9" t="s">
        <v>48</v>
      </c>
      <c r="C18" s="9" t="s">
        <v>58</v>
      </c>
      <c r="D18" s="9">
        <v>160</v>
      </c>
      <c r="E18" s="9">
        <v>15</v>
      </c>
      <c r="F18" s="9" t="s">
        <v>27</v>
      </c>
      <c r="G18" s="6">
        <f t="shared" si="0"/>
        <v>160</v>
      </c>
      <c r="H18" s="6">
        <f t="shared" si="1"/>
        <v>160</v>
      </c>
      <c r="I18" s="6" t="s">
        <v>27</v>
      </c>
    </row>
    <row r="19" spans="1:9">
      <c r="A19" s="10" t="s">
        <v>59</v>
      </c>
      <c r="B19" s="10" t="s">
        <v>7</v>
      </c>
      <c r="C19" s="10" t="s">
        <v>60</v>
      </c>
      <c r="D19" s="10">
        <v>980</v>
      </c>
      <c r="E19" s="10">
        <v>10</v>
      </c>
      <c r="F19" s="10" t="s">
        <v>9</v>
      </c>
      <c r="G19" s="6">
        <f t="shared" si="0"/>
        <v>980</v>
      </c>
      <c r="H19" s="6">
        <f t="shared" si="1"/>
        <v>980</v>
      </c>
      <c r="I19" s="6" t="s">
        <v>9</v>
      </c>
    </row>
    <row r="20" spans="1:9">
      <c r="A20" s="9" t="s">
        <v>61</v>
      </c>
      <c r="B20" s="9" t="s">
        <v>62</v>
      </c>
      <c r="C20" s="9" t="s">
        <v>63</v>
      </c>
      <c r="D20" s="9">
        <v>150</v>
      </c>
      <c r="E20" s="9">
        <v>15</v>
      </c>
      <c r="F20" s="9" t="s">
        <v>13</v>
      </c>
      <c r="G20" s="6">
        <f t="shared" si="0"/>
        <v>150</v>
      </c>
      <c r="H20" s="6">
        <f t="shared" si="1"/>
        <v>150</v>
      </c>
      <c r="I20" s="6" t="s">
        <v>13</v>
      </c>
    </row>
    <row r="21" spans="1:9">
      <c r="A21" s="10" t="s">
        <v>64</v>
      </c>
      <c r="B21" s="10" t="s">
        <v>65</v>
      </c>
      <c r="C21" s="10" t="s">
        <v>66</v>
      </c>
      <c r="D21" s="10"/>
      <c r="E21" s="10">
        <v>10</v>
      </c>
      <c r="F21" s="10" t="s">
        <v>40</v>
      </c>
      <c r="G21" s="6" t="str">
        <f t="shared" si="0"/>
        <v>Blank</v>
      </c>
      <c r="H21" s="6">
        <f t="shared" si="1"/>
        <v>130</v>
      </c>
      <c r="I21" s="6" t="s">
        <v>40</v>
      </c>
    </row>
    <row r="22" spans="1:9">
      <c r="A22" s="9" t="s">
        <v>67</v>
      </c>
      <c r="B22" s="9" t="s">
        <v>68</v>
      </c>
      <c r="C22" s="9" t="s">
        <v>69</v>
      </c>
      <c r="D22" s="9">
        <v>700</v>
      </c>
      <c r="E22" s="9">
        <v>50</v>
      </c>
      <c r="F22" s="9" t="s">
        <v>9</v>
      </c>
      <c r="G22" s="6">
        <f t="shared" si="0"/>
        <v>700</v>
      </c>
      <c r="H22" s="6">
        <f t="shared" si="1"/>
        <v>700</v>
      </c>
      <c r="I22" s="6" t="s">
        <v>9</v>
      </c>
    </row>
    <row r="23" spans="1:9">
      <c r="A23" s="10" t="s">
        <v>70</v>
      </c>
      <c r="B23" s="10" t="s">
        <v>71</v>
      </c>
      <c r="C23" s="10" t="s">
        <v>72</v>
      </c>
      <c r="D23" s="10">
        <v>80</v>
      </c>
      <c r="E23" s="10">
        <v>20</v>
      </c>
      <c r="F23" s="10" t="s">
        <v>17</v>
      </c>
      <c r="G23" s="6">
        <f t="shared" si="0"/>
        <v>80</v>
      </c>
      <c r="H23" s="6">
        <f t="shared" si="1"/>
        <v>80</v>
      </c>
      <c r="I23" s="6" t="s">
        <v>17</v>
      </c>
    </row>
    <row r="24" spans="1:9">
      <c r="A24" s="9" t="s">
        <v>73</v>
      </c>
      <c r="B24" s="9" t="s">
        <v>74</v>
      </c>
      <c r="C24" s="9" t="s">
        <v>75</v>
      </c>
      <c r="D24" s="9">
        <v>150</v>
      </c>
      <c r="E24" s="9">
        <v>30</v>
      </c>
      <c r="F24" s="9"/>
      <c r="G24" s="6">
        <f t="shared" si="0"/>
        <v>150</v>
      </c>
      <c r="H24" s="6">
        <f t="shared" si="1"/>
        <v>150</v>
      </c>
      <c r="I24" s="6" t="s">
        <v>9</v>
      </c>
    </row>
    <row r="25" spans="1:9">
      <c r="A25" s="10" t="s">
        <v>53</v>
      </c>
      <c r="B25" s="10" t="s">
        <v>54</v>
      </c>
      <c r="C25" s="10" t="s">
        <v>55</v>
      </c>
      <c r="D25" s="10">
        <v>50</v>
      </c>
      <c r="E25" s="10">
        <v>35</v>
      </c>
      <c r="F25" s="10" t="s">
        <v>56</v>
      </c>
      <c r="G25" s="6">
        <f t="shared" si="0"/>
        <v>50</v>
      </c>
      <c r="H25" s="6">
        <f t="shared" si="1"/>
        <v>50</v>
      </c>
      <c r="I25" s="6" t="s">
        <v>56</v>
      </c>
    </row>
    <row r="26" spans="1:9">
      <c r="A26" s="9" t="s">
        <v>76</v>
      </c>
      <c r="B26" s="9" t="s">
        <v>77</v>
      </c>
      <c r="C26" s="9" t="s">
        <v>78</v>
      </c>
      <c r="D26" s="9">
        <v>800</v>
      </c>
      <c r="E26" s="9">
        <v>45</v>
      </c>
      <c r="F26" s="9" t="s">
        <v>9</v>
      </c>
      <c r="G26" s="6">
        <f t="shared" si="0"/>
        <v>800</v>
      </c>
      <c r="H26" s="6">
        <f t="shared" si="1"/>
        <v>800</v>
      </c>
      <c r="I26" s="6" t="s">
        <v>9</v>
      </c>
    </row>
    <row r="27" spans="1:9">
      <c r="A27" s="10" t="s">
        <v>79</v>
      </c>
      <c r="B27" s="10" t="s">
        <v>62</v>
      </c>
      <c r="C27" s="10" t="s">
        <v>80</v>
      </c>
      <c r="D27" s="10"/>
      <c r="E27" s="10">
        <v>25</v>
      </c>
      <c r="F27" s="10" t="s">
        <v>13</v>
      </c>
      <c r="G27" s="6" t="str">
        <f t="shared" si="0"/>
        <v>Blank</v>
      </c>
      <c r="H27" s="6">
        <f t="shared" si="1"/>
        <v>115</v>
      </c>
      <c r="I27" s="6" t="s">
        <v>13</v>
      </c>
    </row>
    <row r="28" spans="1:9">
      <c r="A28" s="9" t="s">
        <v>81</v>
      </c>
      <c r="B28" s="9" t="s">
        <v>32</v>
      </c>
      <c r="C28" s="9" t="s">
        <v>82</v>
      </c>
      <c r="D28" s="9">
        <v>400</v>
      </c>
      <c r="E28" s="9">
        <v>40</v>
      </c>
      <c r="F28" s="9" t="s">
        <v>17</v>
      </c>
      <c r="G28" s="6">
        <f t="shared" si="0"/>
        <v>400</v>
      </c>
      <c r="H28" s="6">
        <f t="shared" si="1"/>
        <v>400</v>
      </c>
      <c r="I28" s="6" t="s">
        <v>17</v>
      </c>
    </row>
    <row r="29" spans="1:9">
      <c r="A29" s="10" t="s">
        <v>50</v>
      </c>
      <c r="B29" s="10" t="s">
        <v>51</v>
      </c>
      <c r="C29" s="10" t="s">
        <v>52</v>
      </c>
      <c r="D29" s="10">
        <v>250</v>
      </c>
      <c r="E29" s="10">
        <v>20</v>
      </c>
      <c r="F29" s="10" t="s">
        <v>27</v>
      </c>
      <c r="G29" s="6">
        <f t="shared" si="0"/>
        <v>250</v>
      </c>
      <c r="H29" s="6">
        <f t="shared" si="1"/>
        <v>250</v>
      </c>
      <c r="I29" s="6" t="s">
        <v>27</v>
      </c>
    </row>
    <row r="30" spans="1:9">
      <c r="A30" s="9" t="s">
        <v>83</v>
      </c>
      <c r="B30" s="9" t="s">
        <v>84</v>
      </c>
      <c r="C30" s="9" t="s">
        <v>85</v>
      </c>
      <c r="D30" s="9">
        <v>60</v>
      </c>
      <c r="E30" s="9">
        <v>30</v>
      </c>
      <c r="F30" s="9" t="s">
        <v>13</v>
      </c>
      <c r="G30" s="6">
        <f t="shared" si="0"/>
        <v>60</v>
      </c>
      <c r="H30" s="6">
        <f t="shared" si="1"/>
        <v>60</v>
      </c>
      <c r="I30" s="6" t="s">
        <v>13</v>
      </c>
    </row>
    <row r="31" spans="1:9">
      <c r="A31" s="10" t="s">
        <v>86</v>
      </c>
      <c r="B31" s="10" t="s">
        <v>87</v>
      </c>
      <c r="C31" s="10" t="s">
        <v>88</v>
      </c>
      <c r="D31" s="10">
        <v>40</v>
      </c>
      <c r="E31" s="10">
        <v>10</v>
      </c>
      <c r="F31" s="10" t="s">
        <v>17</v>
      </c>
      <c r="G31" s="6">
        <f t="shared" si="0"/>
        <v>40</v>
      </c>
      <c r="H31" s="6">
        <f t="shared" si="1"/>
        <v>40</v>
      </c>
      <c r="I31" s="6" t="s">
        <v>17</v>
      </c>
    </row>
    <row r="32" spans="1:9">
      <c r="A32" s="9" t="s">
        <v>89</v>
      </c>
      <c r="B32" s="9" t="s">
        <v>74</v>
      </c>
      <c r="C32" s="9" t="s">
        <v>90</v>
      </c>
      <c r="D32" s="9">
        <v>130</v>
      </c>
      <c r="E32" s="9">
        <v>5</v>
      </c>
      <c r="F32" s="9" t="s">
        <v>9</v>
      </c>
      <c r="G32" s="6">
        <f t="shared" si="0"/>
        <v>130</v>
      </c>
      <c r="H32" s="6">
        <f t="shared" si="1"/>
        <v>130</v>
      </c>
      <c r="I32" s="6" t="s">
        <v>9</v>
      </c>
    </row>
    <row r="33" spans="1:9">
      <c r="A33" s="10" t="s">
        <v>91</v>
      </c>
      <c r="B33" s="10" t="s">
        <v>92</v>
      </c>
      <c r="C33" s="10" t="s">
        <v>93</v>
      </c>
      <c r="D33" s="10">
        <v>50</v>
      </c>
      <c r="E33" s="10">
        <v>50</v>
      </c>
      <c r="F33" s="10" t="s">
        <v>13</v>
      </c>
      <c r="G33" s="6">
        <f t="shared" si="0"/>
        <v>50</v>
      </c>
      <c r="H33" s="6">
        <f t="shared" si="1"/>
        <v>50</v>
      </c>
      <c r="I33" s="6" t="s">
        <v>13</v>
      </c>
    </row>
    <row r="34" spans="1:9">
      <c r="A34" s="9" t="s">
        <v>41</v>
      </c>
      <c r="B34" s="9" t="s">
        <v>42</v>
      </c>
      <c r="C34" s="9" t="s">
        <v>43</v>
      </c>
      <c r="D34" s="9">
        <v>950</v>
      </c>
      <c r="E34" s="9">
        <v>25</v>
      </c>
      <c r="F34" s="9" t="s">
        <v>9</v>
      </c>
      <c r="G34" s="6">
        <f t="shared" si="0"/>
        <v>950</v>
      </c>
      <c r="H34" s="6">
        <f t="shared" si="1"/>
        <v>950</v>
      </c>
      <c r="I34" s="6" t="s">
        <v>9</v>
      </c>
    </row>
    <row r="35" spans="1:9">
      <c r="A35" s="10" t="s">
        <v>94</v>
      </c>
      <c r="B35" s="10" t="s">
        <v>95</v>
      </c>
      <c r="C35" s="10" t="s">
        <v>96</v>
      </c>
      <c r="D35" s="10">
        <v>100</v>
      </c>
      <c r="E35" s="10">
        <v>20</v>
      </c>
      <c r="F35" s="10" t="s">
        <v>56</v>
      </c>
      <c r="G35" s="6">
        <f t="shared" si="0"/>
        <v>100</v>
      </c>
      <c r="H35" s="6">
        <f t="shared" si="1"/>
        <v>100</v>
      </c>
      <c r="I35" s="6" t="s">
        <v>56</v>
      </c>
    </row>
  </sheetData>
  <autoFilter ref="A1:K35" xr:uid="{4FFB3547-4094-4E28-BA8B-58C7DC2F8C6A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2E03-DB7F-446C-9E0C-7B1320F97AFE}">
  <dimension ref="A1:K35"/>
  <sheetViews>
    <sheetView workbookViewId="0">
      <selection activeCell="K24" sqref="K24"/>
    </sheetView>
  </sheetViews>
  <sheetFormatPr defaultRowHeight="13.2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8" width="13.6640625" bestFit="1" customWidth="1"/>
    <col min="9" max="9" width="21.33203125" bestFit="1" customWidth="1"/>
    <col min="10" max="10" width="16.6640625" bestFit="1" customWidth="1"/>
    <col min="11" max="11" width="13.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97</v>
      </c>
      <c r="H1" s="13" t="s">
        <v>98</v>
      </c>
      <c r="I1" s="13" t="s">
        <v>99</v>
      </c>
      <c r="J1" s="13" t="s">
        <v>100</v>
      </c>
      <c r="K1" s="12" t="s">
        <v>103</v>
      </c>
    </row>
    <row r="2" spans="1:11">
      <c r="A2" s="9" t="s">
        <v>6</v>
      </c>
      <c r="B2" s="9" t="s">
        <v>7</v>
      </c>
      <c r="C2" s="9" t="s">
        <v>8</v>
      </c>
      <c r="D2" s="9">
        <v>1000</v>
      </c>
      <c r="E2" s="9">
        <v>30</v>
      </c>
      <c r="F2" s="9" t="s">
        <v>9</v>
      </c>
      <c r="G2" s="6" t="str">
        <f>PROPER(B2)</f>
        <v>Laptop</v>
      </c>
      <c r="H2" s="6" t="str">
        <f>TRIM(G2)</f>
        <v>Laptop</v>
      </c>
      <c r="I2" s="6" t="str">
        <f>TRIM(H2)</f>
        <v>Laptop</v>
      </c>
      <c r="J2" s="6" t="s">
        <v>9</v>
      </c>
      <c r="K2" s="6">
        <v>1000</v>
      </c>
    </row>
    <row r="3" spans="1:11">
      <c r="A3" s="10" t="s">
        <v>10</v>
      </c>
      <c r="B3" s="10" t="s">
        <v>11</v>
      </c>
      <c r="C3" s="10" t="s">
        <v>12</v>
      </c>
      <c r="D3" s="10">
        <v>80</v>
      </c>
      <c r="E3" s="10">
        <v>15</v>
      </c>
      <c r="F3" s="10" t="s">
        <v>13</v>
      </c>
      <c r="G3" s="6" t="str">
        <f t="shared" ref="G3:G35" si="0">PROPER(B3)</f>
        <v>Sneakers</v>
      </c>
      <c r="H3" s="6" t="str">
        <f t="shared" ref="H3:I35" si="1">TRIM(G3)</f>
        <v>Sneakers</v>
      </c>
      <c r="I3" s="6" t="str">
        <f t="shared" si="1"/>
        <v>Sneakers</v>
      </c>
      <c r="J3" s="6" t="s">
        <v>13</v>
      </c>
      <c r="K3" s="6">
        <v>80</v>
      </c>
    </row>
    <row r="4" spans="1:11">
      <c r="A4" s="9" t="s">
        <v>14</v>
      </c>
      <c r="B4" s="9" t="s">
        <v>15</v>
      </c>
      <c r="C4" s="9" t="s">
        <v>16</v>
      </c>
      <c r="D4" s="9">
        <v>130</v>
      </c>
      <c r="E4" s="9">
        <v>40</v>
      </c>
      <c r="F4" s="9" t="s">
        <v>17</v>
      </c>
      <c r="G4" s="6" t="str">
        <f t="shared" si="0"/>
        <v>Coffee Maker</v>
      </c>
      <c r="H4" s="6" t="str">
        <f t="shared" si="1"/>
        <v>Coffee Maker</v>
      </c>
      <c r="I4" s="6" t="str">
        <f t="shared" si="1"/>
        <v>Coffee Maker</v>
      </c>
      <c r="J4" s="6" t="s">
        <v>17</v>
      </c>
      <c r="K4" s="6">
        <v>130</v>
      </c>
    </row>
    <row r="5" spans="1:11">
      <c r="A5" s="10" t="s">
        <v>18</v>
      </c>
      <c r="B5" s="10" t="s">
        <v>19</v>
      </c>
      <c r="C5" s="10" t="s">
        <v>20</v>
      </c>
      <c r="D5" s="10">
        <v>900</v>
      </c>
      <c r="E5" s="10">
        <v>25</v>
      </c>
      <c r="F5" s="10" t="s">
        <v>9</v>
      </c>
      <c r="G5" s="6" t="str">
        <f t="shared" si="0"/>
        <v>Smartphone</v>
      </c>
      <c r="H5" s="6" t="str">
        <f t="shared" si="1"/>
        <v>Smartphone</v>
      </c>
      <c r="I5" s="6" t="str">
        <f t="shared" si="1"/>
        <v>Smartphone</v>
      </c>
      <c r="J5" s="6" t="s">
        <v>9</v>
      </c>
      <c r="K5" s="6">
        <v>900</v>
      </c>
    </row>
    <row r="6" spans="1:11">
      <c r="A6" s="9" t="s">
        <v>21</v>
      </c>
      <c r="B6" s="9" t="s">
        <v>22</v>
      </c>
      <c r="C6" s="9" t="s">
        <v>23</v>
      </c>
      <c r="D6" s="9">
        <v>70</v>
      </c>
      <c r="E6" s="9">
        <v>20</v>
      </c>
      <c r="F6" s="9"/>
      <c r="G6" s="6" t="str">
        <f t="shared" si="0"/>
        <v>Backpack</v>
      </c>
      <c r="H6" s="6" t="str">
        <f t="shared" si="1"/>
        <v>Backpack</v>
      </c>
      <c r="I6" s="6" t="str">
        <f t="shared" si="1"/>
        <v>Backpack</v>
      </c>
      <c r="J6" s="6" t="s">
        <v>56</v>
      </c>
      <c r="K6" s="6">
        <v>70</v>
      </c>
    </row>
    <row r="7" spans="1:11">
      <c r="A7" s="10" t="s">
        <v>24</v>
      </c>
      <c r="B7" s="10" t="s">
        <v>25</v>
      </c>
      <c r="C7" s="10" t="s">
        <v>26</v>
      </c>
      <c r="D7" s="10"/>
      <c r="E7" s="10">
        <v>45</v>
      </c>
      <c r="F7" s="10" t="s">
        <v>27</v>
      </c>
      <c r="G7" s="6" t="str">
        <f t="shared" si="0"/>
        <v>Headphones</v>
      </c>
      <c r="H7" s="6" t="str">
        <f t="shared" si="1"/>
        <v>Headphones</v>
      </c>
      <c r="I7" s="6" t="str">
        <f t="shared" si="1"/>
        <v>Headphones</v>
      </c>
      <c r="J7" s="6" t="s">
        <v>9</v>
      </c>
      <c r="K7" s="6">
        <v>140</v>
      </c>
    </row>
    <row r="8" spans="1:11">
      <c r="A8" s="9" t="s">
        <v>28</v>
      </c>
      <c r="B8" s="9" t="s">
        <v>29</v>
      </c>
      <c r="C8" s="9" t="s">
        <v>30</v>
      </c>
      <c r="D8" s="9">
        <v>30</v>
      </c>
      <c r="E8" s="9">
        <v>5</v>
      </c>
      <c r="F8" s="9" t="s">
        <v>13</v>
      </c>
      <c r="G8" s="6" t="str">
        <f t="shared" si="0"/>
        <v>T-Shirt</v>
      </c>
      <c r="H8" s="6" t="str">
        <f t="shared" si="1"/>
        <v>T-Shirt</v>
      </c>
      <c r="I8" s="6" t="str">
        <f t="shared" si="1"/>
        <v>T-Shirt</v>
      </c>
      <c r="J8" s="6" t="s">
        <v>13</v>
      </c>
      <c r="K8" s="6">
        <v>30</v>
      </c>
    </row>
    <row r="9" spans="1:11">
      <c r="A9" s="10" t="s">
        <v>31</v>
      </c>
      <c r="B9" s="10" t="s">
        <v>32</v>
      </c>
      <c r="C9" s="10" t="s">
        <v>33</v>
      </c>
      <c r="D9" s="10">
        <v>90</v>
      </c>
      <c r="E9" s="10">
        <v>35</v>
      </c>
      <c r="F9" s="10" t="s">
        <v>17</v>
      </c>
      <c r="G9" s="6" t="str">
        <f t="shared" si="0"/>
        <v>Blender</v>
      </c>
      <c r="H9" s="6" t="str">
        <f t="shared" si="1"/>
        <v>Blender</v>
      </c>
      <c r="I9" s="6" t="str">
        <f t="shared" si="1"/>
        <v>Blender</v>
      </c>
      <c r="J9" s="6" t="s">
        <v>17</v>
      </c>
      <c r="K9" s="6">
        <v>90</v>
      </c>
    </row>
    <row r="10" spans="1:11">
      <c r="A10" s="9" t="s">
        <v>34</v>
      </c>
      <c r="B10" s="9" t="s">
        <v>35</v>
      </c>
      <c r="C10" s="9" t="s">
        <v>36</v>
      </c>
      <c r="D10" s="9">
        <v>500</v>
      </c>
      <c r="E10" s="9">
        <v>50</v>
      </c>
      <c r="F10" s="9" t="s">
        <v>9</v>
      </c>
      <c r="G10" s="6" t="str">
        <f t="shared" si="0"/>
        <v>Tablet</v>
      </c>
      <c r="H10" s="6" t="str">
        <f t="shared" si="1"/>
        <v>Tablet</v>
      </c>
      <c r="I10" s="6" t="str">
        <f t="shared" si="1"/>
        <v>Tablet</v>
      </c>
      <c r="J10" s="6" t="s">
        <v>9</v>
      </c>
      <c r="K10" s="6">
        <v>500</v>
      </c>
    </row>
    <row r="11" spans="1:11">
      <c r="A11" s="10" t="s">
        <v>37</v>
      </c>
      <c r="B11" s="10" t="s">
        <v>38</v>
      </c>
      <c r="C11" s="10" t="s">
        <v>39</v>
      </c>
      <c r="D11" s="10">
        <v>130</v>
      </c>
      <c r="E11" s="10">
        <v>10</v>
      </c>
      <c r="F11" s="10" t="s">
        <v>40</v>
      </c>
      <c r="G11" s="6" t="str">
        <f t="shared" si="0"/>
        <v>Hiking Boots</v>
      </c>
      <c r="H11" s="6" t="str">
        <f t="shared" si="1"/>
        <v>Hiking Boots</v>
      </c>
      <c r="I11" s="6" t="str">
        <f t="shared" si="1"/>
        <v>Hiking Boots</v>
      </c>
      <c r="J11" s="6" t="s">
        <v>40</v>
      </c>
      <c r="K11" s="6">
        <v>130</v>
      </c>
    </row>
    <row r="12" spans="1:11">
      <c r="A12" s="9" t="s">
        <v>41</v>
      </c>
      <c r="B12" s="9" t="s">
        <v>42</v>
      </c>
      <c r="C12" s="9" t="s">
        <v>43</v>
      </c>
      <c r="D12" s="9">
        <v>950</v>
      </c>
      <c r="E12" s="9">
        <v>25</v>
      </c>
      <c r="F12" s="9" t="s">
        <v>9</v>
      </c>
      <c r="G12" s="6" t="str">
        <f t="shared" si="0"/>
        <v>Laptop</v>
      </c>
      <c r="H12" s="6" t="str">
        <f t="shared" si="1"/>
        <v>Laptop</v>
      </c>
      <c r="I12" s="6" t="str">
        <f t="shared" si="1"/>
        <v>Laptop</v>
      </c>
      <c r="J12" s="6" t="s">
        <v>9</v>
      </c>
      <c r="K12" s="6">
        <v>950</v>
      </c>
    </row>
    <row r="13" spans="1:11">
      <c r="A13" s="10" t="s">
        <v>44</v>
      </c>
      <c r="B13" s="10" t="s">
        <v>11</v>
      </c>
      <c r="C13" s="10" t="s">
        <v>30</v>
      </c>
      <c r="D13" s="10">
        <v>90</v>
      </c>
      <c r="E13" s="10">
        <v>40</v>
      </c>
      <c r="F13" s="10"/>
      <c r="G13" s="6" t="str">
        <f t="shared" si="0"/>
        <v>Sneakers</v>
      </c>
      <c r="H13" s="6" t="str">
        <f t="shared" si="1"/>
        <v>Sneakers</v>
      </c>
      <c r="I13" s="6" t="str">
        <f t="shared" si="1"/>
        <v>Sneakers</v>
      </c>
      <c r="J13" s="6" t="s">
        <v>13</v>
      </c>
      <c r="K13" s="6">
        <v>90</v>
      </c>
    </row>
    <row r="14" spans="1:11">
      <c r="A14" s="9" t="s">
        <v>45</v>
      </c>
      <c r="B14" s="9" t="s">
        <v>15</v>
      </c>
      <c r="C14" s="9" t="s">
        <v>46</v>
      </c>
      <c r="D14" s="9">
        <v>120</v>
      </c>
      <c r="E14" s="9">
        <v>35</v>
      </c>
      <c r="F14" s="9"/>
      <c r="G14" s="6" t="str">
        <f t="shared" si="0"/>
        <v>Coffee Maker</v>
      </c>
      <c r="H14" s="6" t="str">
        <f t="shared" si="1"/>
        <v>Coffee Maker</v>
      </c>
      <c r="I14" s="6" t="str">
        <f t="shared" si="1"/>
        <v>Coffee Maker</v>
      </c>
      <c r="J14" s="6" t="s">
        <v>17</v>
      </c>
      <c r="K14" s="6">
        <v>120</v>
      </c>
    </row>
    <row r="15" spans="1:11">
      <c r="A15" s="10" t="s">
        <v>47</v>
      </c>
      <c r="B15" s="10" t="s">
        <v>48</v>
      </c>
      <c r="C15" s="10" t="s">
        <v>49</v>
      </c>
      <c r="D15" s="10">
        <v>150</v>
      </c>
      <c r="E15" s="10">
        <v>15</v>
      </c>
      <c r="F15" s="10" t="s">
        <v>27</v>
      </c>
      <c r="G15" s="6" t="str">
        <f t="shared" si="0"/>
        <v>Smartwatch</v>
      </c>
      <c r="H15" s="6" t="str">
        <f t="shared" si="1"/>
        <v>Smartwatch</v>
      </c>
      <c r="I15" s="6" t="str">
        <f t="shared" si="1"/>
        <v>Smartwatch</v>
      </c>
      <c r="J15" s="6" t="s">
        <v>9</v>
      </c>
      <c r="K15" s="6">
        <v>150</v>
      </c>
    </row>
    <row r="16" spans="1:11">
      <c r="A16" s="9" t="s">
        <v>50</v>
      </c>
      <c r="B16" s="9" t="s">
        <v>51</v>
      </c>
      <c r="C16" s="9" t="s">
        <v>52</v>
      </c>
      <c r="D16" s="9">
        <v>250</v>
      </c>
      <c r="E16" s="9">
        <v>20</v>
      </c>
      <c r="F16" s="9" t="s">
        <v>27</v>
      </c>
      <c r="G16" s="6" t="str">
        <f t="shared" si="0"/>
        <v>Headphones</v>
      </c>
      <c r="H16" s="6" t="str">
        <f t="shared" si="1"/>
        <v>Headphones</v>
      </c>
      <c r="I16" s="6" t="str">
        <f t="shared" si="1"/>
        <v>Headphones</v>
      </c>
      <c r="J16" s="6" t="s">
        <v>9</v>
      </c>
      <c r="K16" s="6">
        <v>250</v>
      </c>
    </row>
    <row r="17" spans="1:11">
      <c r="A17" s="10" t="s">
        <v>53</v>
      </c>
      <c r="B17" s="10" t="s">
        <v>54</v>
      </c>
      <c r="C17" s="10" t="s">
        <v>55</v>
      </c>
      <c r="D17" s="10">
        <v>50</v>
      </c>
      <c r="E17" s="10">
        <v>35</v>
      </c>
      <c r="F17" s="10" t="s">
        <v>56</v>
      </c>
      <c r="G17" s="6" t="str">
        <f t="shared" si="0"/>
        <v>Laptop Bag</v>
      </c>
      <c r="H17" s="6" t="str">
        <f t="shared" si="1"/>
        <v>Laptop Bag</v>
      </c>
      <c r="I17" s="6" t="str">
        <f t="shared" si="1"/>
        <v>Laptop Bag</v>
      </c>
      <c r="J17" s="6" t="s">
        <v>56</v>
      </c>
      <c r="K17" s="6">
        <v>50</v>
      </c>
    </row>
    <row r="18" spans="1:11">
      <c r="A18" s="9" t="s">
        <v>57</v>
      </c>
      <c r="B18" s="9" t="s">
        <v>48</v>
      </c>
      <c r="C18" s="9" t="s">
        <v>58</v>
      </c>
      <c r="D18" s="9">
        <v>160</v>
      </c>
      <c r="E18" s="9">
        <v>15</v>
      </c>
      <c r="F18" s="9" t="s">
        <v>27</v>
      </c>
      <c r="G18" s="6" t="str">
        <f t="shared" si="0"/>
        <v>Smartwatch</v>
      </c>
      <c r="H18" s="6" t="str">
        <f t="shared" si="1"/>
        <v>Smartwatch</v>
      </c>
      <c r="I18" s="6" t="str">
        <f t="shared" si="1"/>
        <v>Smartwatch</v>
      </c>
      <c r="J18" s="6" t="s">
        <v>9</v>
      </c>
      <c r="K18" s="6">
        <v>160</v>
      </c>
    </row>
    <row r="19" spans="1:11">
      <c r="A19" s="10" t="s">
        <v>59</v>
      </c>
      <c r="B19" s="10" t="s">
        <v>7</v>
      </c>
      <c r="C19" s="10" t="s">
        <v>60</v>
      </c>
      <c r="D19" s="10">
        <v>980</v>
      </c>
      <c r="E19" s="10">
        <v>10</v>
      </c>
      <c r="F19" s="10" t="s">
        <v>9</v>
      </c>
      <c r="G19" s="6" t="str">
        <f t="shared" si="0"/>
        <v>Laptop</v>
      </c>
      <c r="H19" s="6" t="str">
        <f t="shared" si="1"/>
        <v>Laptop</v>
      </c>
      <c r="I19" s="6" t="str">
        <f t="shared" si="1"/>
        <v>Laptop</v>
      </c>
      <c r="J19" s="6" t="s">
        <v>9</v>
      </c>
      <c r="K19" s="6">
        <v>980</v>
      </c>
    </row>
    <row r="20" spans="1:11">
      <c r="A20" s="9" t="s">
        <v>61</v>
      </c>
      <c r="B20" s="9" t="s">
        <v>62</v>
      </c>
      <c r="C20" s="9" t="s">
        <v>63</v>
      </c>
      <c r="D20" s="9">
        <v>150</v>
      </c>
      <c r="E20" s="9">
        <v>15</v>
      </c>
      <c r="F20" s="9" t="s">
        <v>13</v>
      </c>
      <c r="G20" s="6" t="str">
        <f t="shared" si="0"/>
        <v>Sunglasses</v>
      </c>
      <c r="H20" s="6" t="str">
        <f t="shared" si="1"/>
        <v>Sunglasses</v>
      </c>
      <c r="I20" s="6" t="str">
        <f t="shared" si="1"/>
        <v>Sunglasses</v>
      </c>
      <c r="J20" s="6" t="s">
        <v>13</v>
      </c>
      <c r="K20" s="6">
        <v>150</v>
      </c>
    </row>
    <row r="21" spans="1:11">
      <c r="A21" s="10" t="s">
        <v>64</v>
      </c>
      <c r="B21" s="10" t="s">
        <v>65</v>
      </c>
      <c r="C21" s="10" t="s">
        <v>66</v>
      </c>
      <c r="D21" s="10"/>
      <c r="E21" s="10">
        <v>10</v>
      </c>
      <c r="F21" s="10" t="s">
        <v>40</v>
      </c>
      <c r="G21" s="6" t="str">
        <f t="shared" si="0"/>
        <v>Camping Tent</v>
      </c>
      <c r="H21" s="6" t="str">
        <f t="shared" si="1"/>
        <v>Camping Tent</v>
      </c>
      <c r="I21" s="6" t="str">
        <f t="shared" si="1"/>
        <v>Camping Tent</v>
      </c>
      <c r="J21" s="6" t="s">
        <v>40</v>
      </c>
      <c r="K21" s="6">
        <v>130</v>
      </c>
    </row>
    <row r="22" spans="1:11">
      <c r="A22" s="9" t="s">
        <v>67</v>
      </c>
      <c r="B22" s="9" t="s">
        <v>68</v>
      </c>
      <c r="C22" s="9" t="s">
        <v>69</v>
      </c>
      <c r="D22" s="9">
        <v>700</v>
      </c>
      <c r="E22" s="9">
        <v>50</v>
      </c>
      <c r="F22" s="9" t="s">
        <v>9</v>
      </c>
      <c r="G22" s="6" t="str">
        <f t="shared" si="0"/>
        <v>Camera</v>
      </c>
      <c r="H22" s="6" t="str">
        <f t="shared" si="1"/>
        <v>Camera</v>
      </c>
      <c r="I22" s="6" t="str">
        <f t="shared" si="1"/>
        <v>Camera</v>
      </c>
      <c r="J22" s="6" t="s">
        <v>9</v>
      </c>
      <c r="K22" s="6">
        <v>700</v>
      </c>
    </row>
    <row r="23" spans="1:11">
      <c r="A23" s="10" t="s">
        <v>70</v>
      </c>
      <c r="B23" s="10" t="s">
        <v>71</v>
      </c>
      <c r="C23" s="10" t="s">
        <v>72</v>
      </c>
      <c r="D23" s="10">
        <v>80</v>
      </c>
      <c r="E23" s="10">
        <v>20</v>
      </c>
      <c r="F23" s="10" t="s">
        <v>17</v>
      </c>
      <c r="G23" s="6" t="str">
        <f t="shared" si="0"/>
        <v>Microwave</v>
      </c>
      <c r="H23" s="6" t="str">
        <f t="shared" si="1"/>
        <v>Microwave</v>
      </c>
      <c r="I23" s="6" t="str">
        <f t="shared" si="1"/>
        <v>Microwave</v>
      </c>
      <c r="J23" s="6" t="s">
        <v>17</v>
      </c>
      <c r="K23" s="6">
        <v>80</v>
      </c>
    </row>
    <row r="24" spans="1:11">
      <c r="A24" s="9" t="s">
        <v>73</v>
      </c>
      <c r="B24" s="9" t="s">
        <v>74</v>
      </c>
      <c r="C24" s="9" t="s">
        <v>75</v>
      </c>
      <c r="D24" s="9">
        <v>150</v>
      </c>
      <c r="E24" s="9">
        <v>30</v>
      </c>
      <c r="F24" s="9"/>
      <c r="G24" s="6" t="str">
        <f t="shared" si="0"/>
        <v>Fitness Tracker</v>
      </c>
      <c r="H24" s="6" t="str">
        <f t="shared" si="1"/>
        <v>Fitness Tracker</v>
      </c>
      <c r="I24" s="6" t="str">
        <f t="shared" si="1"/>
        <v>Fitness Tracker</v>
      </c>
      <c r="J24" s="6" t="s">
        <v>9</v>
      </c>
      <c r="K24" s="6">
        <v>150</v>
      </c>
    </row>
    <row r="25" spans="1:11">
      <c r="A25" s="10" t="s">
        <v>53</v>
      </c>
      <c r="B25" s="10" t="s">
        <v>54</v>
      </c>
      <c r="C25" s="10" t="s">
        <v>55</v>
      </c>
      <c r="D25" s="10">
        <v>50</v>
      </c>
      <c r="E25" s="10">
        <v>35</v>
      </c>
      <c r="F25" s="10" t="s">
        <v>56</v>
      </c>
      <c r="G25" s="6" t="str">
        <f t="shared" si="0"/>
        <v>Laptop Bag</v>
      </c>
      <c r="H25" s="6" t="str">
        <f t="shared" si="1"/>
        <v>Laptop Bag</v>
      </c>
      <c r="I25" s="6" t="str">
        <f t="shared" si="1"/>
        <v>Laptop Bag</v>
      </c>
      <c r="J25" s="6" t="s">
        <v>56</v>
      </c>
      <c r="K25" s="6">
        <v>50</v>
      </c>
    </row>
    <row r="26" spans="1:11">
      <c r="A26" s="9" t="s">
        <v>76</v>
      </c>
      <c r="B26" s="9" t="s">
        <v>77</v>
      </c>
      <c r="C26" s="9" t="s">
        <v>78</v>
      </c>
      <c r="D26" s="9">
        <v>800</v>
      </c>
      <c r="E26" s="9">
        <v>45</v>
      </c>
      <c r="F26" s="9" t="s">
        <v>9</v>
      </c>
      <c r="G26" s="6" t="str">
        <f t="shared" si="0"/>
        <v>Smartphone</v>
      </c>
      <c r="H26" s="6" t="str">
        <f t="shared" si="1"/>
        <v>Smartphone</v>
      </c>
      <c r="I26" s="6" t="str">
        <f t="shared" si="1"/>
        <v>Smartphone</v>
      </c>
      <c r="J26" s="6" t="s">
        <v>9</v>
      </c>
      <c r="K26" s="6">
        <v>800</v>
      </c>
    </row>
    <row r="27" spans="1:11">
      <c r="A27" s="10" t="s">
        <v>79</v>
      </c>
      <c r="B27" s="10" t="s">
        <v>62</v>
      </c>
      <c r="C27" s="10" t="s">
        <v>80</v>
      </c>
      <c r="D27" s="10"/>
      <c r="E27" s="10">
        <v>25</v>
      </c>
      <c r="F27" s="10" t="s">
        <v>13</v>
      </c>
      <c r="G27" s="6" t="str">
        <f t="shared" si="0"/>
        <v>Sunglasses</v>
      </c>
      <c r="H27" s="6" t="str">
        <f t="shared" si="1"/>
        <v>Sunglasses</v>
      </c>
      <c r="I27" s="6" t="str">
        <f t="shared" si="1"/>
        <v>Sunglasses</v>
      </c>
      <c r="J27" s="6" t="s">
        <v>13</v>
      </c>
      <c r="K27" s="6">
        <v>115</v>
      </c>
    </row>
    <row r="28" spans="1:11">
      <c r="A28" s="9" t="s">
        <v>81</v>
      </c>
      <c r="B28" s="9" t="s">
        <v>32</v>
      </c>
      <c r="C28" s="9" t="s">
        <v>82</v>
      </c>
      <c r="D28" s="9">
        <v>400</v>
      </c>
      <c r="E28" s="9">
        <v>40</v>
      </c>
      <c r="F28" s="9" t="s">
        <v>17</v>
      </c>
      <c r="G28" s="6" t="str">
        <f t="shared" si="0"/>
        <v>Blender</v>
      </c>
      <c r="H28" s="6" t="str">
        <f t="shared" si="1"/>
        <v>Blender</v>
      </c>
      <c r="I28" s="6" t="str">
        <f t="shared" si="1"/>
        <v>Blender</v>
      </c>
      <c r="J28" s="6" t="s">
        <v>17</v>
      </c>
      <c r="K28" s="6">
        <v>400</v>
      </c>
    </row>
    <row r="29" spans="1:11">
      <c r="A29" s="10" t="s">
        <v>50</v>
      </c>
      <c r="B29" s="10" t="s">
        <v>51</v>
      </c>
      <c r="C29" s="10" t="s">
        <v>52</v>
      </c>
      <c r="D29" s="10">
        <v>250</v>
      </c>
      <c r="E29" s="10">
        <v>20</v>
      </c>
      <c r="F29" s="10" t="s">
        <v>27</v>
      </c>
      <c r="G29" s="6" t="str">
        <f t="shared" si="0"/>
        <v>Headphones</v>
      </c>
      <c r="H29" s="6" t="str">
        <f t="shared" si="1"/>
        <v>Headphones</v>
      </c>
      <c r="I29" s="6" t="str">
        <f t="shared" si="1"/>
        <v>Headphones</v>
      </c>
      <c r="J29" s="6" t="s">
        <v>9</v>
      </c>
      <c r="K29" s="6">
        <v>250</v>
      </c>
    </row>
    <row r="30" spans="1:11">
      <c r="A30" s="9" t="s">
        <v>83</v>
      </c>
      <c r="B30" s="9" t="s">
        <v>84</v>
      </c>
      <c r="C30" s="9" t="s">
        <v>85</v>
      </c>
      <c r="D30" s="9">
        <v>60</v>
      </c>
      <c r="E30" s="9">
        <v>30</v>
      </c>
      <c r="F30" s="9" t="s">
        <v>13</v>
      </c>
      <c r="G30" s="6" t="str">
        <f t="shared" si="0"/>
        <v>Dress</v>
      </c>
      <c r="H30" s="6" t="str">
        <f t="shared" si="1"/>
        <v>Dress</v>
      </c>
      <c r="I30" s="6" t="str">
        <f t="shared" si="1"/>
        <v>Dress</v>
      </c>
      <c r="J30" s="6" t="s">
        <v>13</v>
      </c>
      <c r="K30" s="6">
        <v>60</v>
      </c>
    </row>
    <row r="31" spans="1:11">
      <c r="A31" s="10" t="s">
        <v>86</v>
      </c>
      <c r="B31" s="10" t="s">
        <v>87</v>
      </c>
      <c r="C31" s="10" t="s">
        <v>88</v>
      </c>
      <c r="D31" s="10">
        <v>40</v>
      </c>
      <c r="E31" s="10">
        <v>10</v>
      </c>
      <c r="F31" s="10" t="s">
        <v>17</v>
      </c>
      <c r="G31" s="6" t="str">
        <f t="shared" si="0"/>
        <v>Toaster</v>
      </c>
      <c r="H31" s="6" t="str">
        <f t="shared" si="1"/>
        <v>Toaster</v>
      </c>
      <c r="I31" s="6" t="str">
        <f t="shared" si="1"/>
        <v>Toaster</v>
      </c>
      <c r="J31" s="6" t="s">
        <v>17</v>
      </c>
      <c r="K31" s="6">
        <v>40</v>
      </c>
    </row>
    <row r="32" spans="1:11">
      <c r="A32" s="9" t="s">
        <v>89</v>
      </c>
      <c r="B32" s="9" t="s">
        <v>74</v>
      </c>
      <c r="C32" s="9" t="s">
        <v>90</v>
      </c>
      <c r="D32" s="9">
        <v>130</v>
      </c>
      <c r="E32" s="9">
        <v>5</v>
      </c>
      <c r="F32" s="9" t="s">
        <v>9</v>
      </c>
      <c r="G32" s="6" t="str">
        <f t="shared" si="0"/>
        <v>Fitness Tracker</v>
      </c>
      <c r="H32" s="6" t="str">
        <f t="shared" si="1"/>
        <v>Fitness Tracker</v>
      </c>
      <c r="I32" s="6" t="str">
        <f t="shared" si="1"/>
        <v>Fitness Tracker</v>
      </c>
      <c r="J32" s="6" t="s">
        <v>9</v>
      </c>
      <c r="K32" s="6">
        <v>130</v>
      </c>
    </row>
    <row r="33" spans="1:11">
      <c r="A33" s="10" t="s">
        <v>91</v>
      </c>
      <c r="B33" s="10" t="s">
        <v>92</v>
      </c>
      <c r="C33" s="10" t="s">
        <v>93</v>
      </c>
      <c r="D33" s="10">
        <v>50</v>
      </c>
      <c r="E33" s="10">
        <v>50</v>
      </c>
      <c r="F33" s="10" t="s">
        <v>13</v>
      </c>
      <c r="G33" s="6" t="str">
        <f t="shared" si="0"/>
        <v>Jeans</v>
      </c>
      <c r="H33" s="6" t="str">
        <f t="shared" si="1"/>
        <v>Jeans</v>
      </c>
      <c r="I33" s="6" t="str">
        <f t="shared" si="1"/>
        <v>Jeans</v>
      </c>
      <c r="J33" s="6" t="s">
        <v>13</v>
      </c>
      <c r="K33" s="6">
        <v>50</v>
      </c>
    </row>
    <row r="34" spans="1:11">
      <c r="A34" s="9" t="s">
        <v>41</v>
      </c>
      <c r="B34" s="9" t="s">
        <v>42</v>
      </c>
      <c r="C34" s="9" t="s">
        <v>43</v>
      </c>
      <c r="D34" s="9">
        <v>950</v>
      </c>
      <c r="E34" s="9">
        <v>25</v>
      </c>
      <c r="F34" s="9" t="s">
        <v>9</v>
      </c>
      <c r="G34" s="6" t="str">
        <f t="shared" si="0"/>
        <v>Laptop</v>
      </c>
      <c r="H34" s="6" t="str">
        <f t="shared" si="1"/>
        <v>Laptop</v>
      </c>
      <c r="I34" s="6" t="str">
        <f t="shared" si="1"/>
        <v>Laptop</v>
      </c>
      <c r="J34" s="6" t="s">
        <v>9</v>
      </c>
      <c r="K34" s="6">
        <v>950</v>
      </c>
    </row>
    <row r="35" spans="1:11">
      <c r="A35" s="10" t="s">
        <v>94</v>
      </c>
      <c r="B35" s="10" t="s">
        <v>95</v>
      </c>
      <c r="C35" s="10" t="s">
        <v>96</v>
      </c>
      <c r="D35" s="10">
        <v>100</v>
      </c>
      <c r="E35" s="10">
        <v>20</v>
      </c>
      <c r="F35" s="10" t="s">
        <v>56</v>
      </c>
      <c r="G35" s="6" t="str">
        <f t="shared" si="0"/>
        <v>Watch</v>
      </c>
      <c r="H35" s="6" t="str">
        <f t="shared" si="1"/>
        <v>Watch</v>
      </c>
      <c r="I35" s="6" t="str">
        <f t="shared" si="1"/>
        <v>Watch</v>
      </c>
      <c r="J35" s="6" t="s">
        <v>56</v>
      </c>
      <c r="K35" s="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07A0-38E8-463C-A88A-649BB7B9ADA8}">
  <dimension ref="A1:K32"/>
  <sheetViews>
    <sheetView topLeftCell="A2" workbookViewId="0">
      <selection activeCell="J24" sqref="J24"/>
    </sheetView>
  </sheetViews>
  <sheetFormatPr defaultRowHeight="13.2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8" width="13.6640625" bestFit="1" customWidth="1"/>
    <col min="9" max="9" width="21.33203125" bestFit="1" customWidth="1"/>
    <col min="10" max="10" width="16.6640625" bestFit="1" customWidth="1"/>
    <col min="11" max="11" width="13.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97</v>
      </c>
      <c r="H1" s="13" t="s">
        <v>98</v>
      </c>
      <c r="I1" s="13" t="s">
        <v>99</v>
      </c>
      <c r="J1" s="13" t="s">
        <v>100</v>
      </c>
      <c r="K1" s="12" t="s">
        <v>103</v>
      </c>
    </row>
    <row r="2" spans="1:11">
      <c r="A2" s="9" t="s">
        <v>6</v>
      </c>
      <c r="B2" s="9" t="s">
        <v>7</v>
      </c>
      <c r="C2" s="9" t="s">
        <v>8</v>
      </c>
      <c r="D2" s="9">
        <v>1000</v>
      </c>
      <c r="E2" s="9">
        <v>30</v>
      </c>
      <c r="F2" s="9" t="s">
        <v>9</v>
      </c>
      <c r="G2" s="6" t="str">
        <f t="shared" ref="G2:G32" si="0">PROPER(B2)</f>
        <v>Laptop</v>
      </c>
      <c r="H2" s="6" t="str">
        <f t="shared" ref="H2:I32" si="1">TRIM(G2)</f>
        <v>Laptop</v>
      </c>
      <c r="I2" s="6" t="str">
        <f t="shared" si="1"/>
        <v>Laptop</v>
      </c>
      <c r="J2" s="6" t="s">
        <v>9</v>
      </c>
      <c r="K2" s="6">
        <v>1000</v>
      </c>
    </row>
    <row r="3" spans="1:11">
      <c r="A3" s="10" t="s">
        <v>10</v>
      </c>
      <c r="B3" s="10" t="s">
        <v>11</v>
      </c>
      <c r="C3" s="10" t="s">
        <v>12</v>
      </c>
      <c r="D3" s="10">
        <v>80</v>
      </c>
      <c r="E3" s="10">
        <v>15</v>
      </c>
      <c r="F3" s="10" t="s">
        <v>13</v>
      </c>
      <c r="G3" s="6" t="str">
        <f t="shared" si="0"/>
        <v>Sneakers</v>
      </c>
      <c r="H3" s="6" t="str">
        <f t="shared" si="1"/>
        <v>Sneakers</v>
      </c>
      <c r="I3" s="6" t="str">
        <f t="shared" si="1"/>
        <v>Sneakers</v>
      </c>
      <c r="J3" s="6" t="s">
        <v>13</v>
      </c>
      <c r="K3" s="6">
        <v>80</v>
      </c>
    </row>
    <row r="4" spans="1:11">
      <c r="A4" s="9" t="s">
        <v>14</v>
      </c>
      <c r="B4" s="9" t="s">
        <v>15</v>
      </c>
      <c r="C4" s="9" t="s">
        <v>16</v>
      </c>
      <c r="D4" s="9">
        <v>130</v>
      </c>
      <c r="E4" s="9">
        <v>40</v>
      </c>
      <c r="F4" s="9" t="s">
        <v>17</v>
      </c>
      <c r="G4" s="6" t="str">
        <f t="shared" si="0"/>
        <v>Coffee Maker</v>
      </c>
      <c r="H4" s="6" t="str">
        <f t="shared" si="1"/>
        <v>Coffee Maker</v>
      </c>
      <c r="I4" s="6" t="str">
        <f t="shared" si="1"/>
        <v>Coffee Maker</v>
      </c>
      <c r="J4" s="6" t="s">
        <v>17</v>
      </c>
      <c r="K4" s="6">
        <v>130</v>
      </c>
    </row>
    <row r="5" spans="1:11">
      <c r="A5" s="10" t="s">
        <v>18</v>
      </c>
      <c r="B5" s="10" t="s">
        <v>19</v>
      </c>
      <c r="C5" s="10" t="s">
        <v>20</v>
      </c>
      <c r="D5" s="10">
        <v>900</v>
      </c>
      <c r="E5" s="10">
        <v>25</v>
      </c>
      <c r="F5" s="10" t="s">
        <v>9</v>
      </c>
      <c r="G5" s="6" t="str">
        <f t="shared" si="0"/>
        <v>Smartphone</v>
      </c>
      <c r="H5" s="6" t="str">
        <f t="shared" si="1"/>
        <v>Smartphone</v>
      </c>
      <c r="I5" s="6" t="str">
        <f t="shared" si="1"/>
        <v>Smartphone</v>
      </c>
      <c r="J5" s="6" t="s">
        <v>9</v>
      </c>
      <c r="K5" s="6">
        <v>900</v>
      </c>
    </row>
    <row r="6" spans="1:11">
      <c r="A6" s="9" t="s">
        <v>21</v>
      </c>
      <c r="B6" s="9" t="s">
        <v>22</v>
      </c>
      <c r="C6" s="9" t="s">
        <v>23</v>
      </c>
      <c r="D6" s="9">
        <v>70</v>
      </c>
      <c r="E6" s="9">
        <v>20</v>
      </c>
      <c r="F6" s="9"/>
      <c r="G6" s="6" t="str">
        <f t="shared" si="0"/>
        <v>Backpack</v>
      </c>
      <c r="H6" s="6" t="str">
        <f t="shared" si="1"/>
        <v>Backpack</v>
      </c>
      <c r="I6" s="6" t="str">
        <f t="shared" si="1"/>
        <v>Backpack</v>
      </c>
      <c r="J6" s="6" t="s">
        <v>56</v>
      </c>
      <c r="K6" s="6">
        <v>70</v>
      </c>
    </row>
    <row r="7" spans="1:11">
      <c r="A7" s="10" t="s">
        <v>24</v>
      </c>
      <c r="B7" s="10" t="s">
        <v>25</v>
      </c>
      <c r="C7" s="10" t="s">
        <v>26</v>
      </c>
      <c r="D7" s="10"/>
      <c r="E7" s="10">
        <v>45</v>
      </c>
      <c r="F7" s="10" t="s">
        <v>27</v>
      </c>
      <c r="G7" s="6" t="str">
        <f t="shared" si="0"/>
        <v>Headphones</v>
      </c>
      <c r="H7" s="6" t="str">
        <f t="shared" si="1"/>
        <v>Headphones</v>
      </c>
      <c r="I7" s="6" t="str">
        <f t="shared" si="1"/>
        <v>Headphones</v>
      </c>
      <c r="J7" s="6" t="s">
        <v>9</v>
      </c>
      <c r="K7" s="6">
        <v>140</v>
      </c>
    </row>
    <row r="8" spans="1:11">
      <c r="A8" s="9" t="s">
        <v>28</v>
      </c>
      <c r="B8" s="9" t="s">
        <v>29</v>
      </c>
      <c r="C8" s="9" t="s">
        <v>30</v>
      </c>
      <c r="D8" s="9">
        <v>30</v>
      </c>
      <c r="E8" s="9">
        <v>5</v>
      </c>
      <c r="F8" s="9" t="s">
        <v>13</v>
      </c>
      <c r="G8" s="6" t="str">
        <f t="shared" si="0"/>
        <v>T-Shirt</v>
      </c>
      <c r="H8" s="6" t="str">
        <f t="shared" si="1"/>
        <v>T-Shirt</v>
      </c>
      <c r="I8" s="6" t="str">
        <f t="shared" si="1"/>
        <v>T-Shirt</v>
      </c>
      <c r="J8" s="6" t="s">
        <v>13</v>
      </c>
      <c r="K8" s="6">
        <v>30</v>
      </c>
    </row>
    <row r="9" spans="1:11">
      <c r="A9" s="10" t="s">
        <v>31</v>
      </c>
      <c r="B9" s="10" t="s">
        <v>32</v>
      </c>
      <c r="C9" s="10" t="s">
        <v>33</v>
      </c>
      <c r="D9" s="10">
        <v>90</v>
      </c>
      <c r="E9" s="10">
        <v>35</v>
      </c>
      <c r="F9" s="10" t="s">
        <v>17</v>
      </c>
      <c r="G9" s="6" t="str">
        <f t="shared" si="0"/>
        <v>Blender</v>
      </c>
      <c r="H9" s="6" t="str">
        <f t="shared" si="1"/>
        <v>Blender</v>
      </c>
      <c r="I9" s="6" t="str">
        <f t="shared" si="1"/>
        <v>Blender</v>
      </c>
      <c r="J9" s="6" t="s">
        <v>17</v>
      </c>
      <c r="K9" s="6">
        <v>90</v>
      </c>
    </row>
    <row r="10" spans="1:11">
      <c r="A10" s="9" t="s">
        <v>34</v>
      </c>
      <c r="B10" s="9" t="s">
        <v>35</v>
      </c>
      <c r="C10" s="9" t="s">
        <v>36</v>
      </c>
      <c r="D10" s="9">
        <v>500</v>
      </c>
      <c r="E10" s="9">
        <v>50</v>
      </c>
      <c r="F10" s="9" t="s">
        <v>9</v>
      </c>
      <c r="G10" s="6" t="str">
        <f t="shared" si="0"/>
        <v>Tablet</v>
      </c>
      <c r="H10" s="6" t="str">
        <f t="shared" si="1"/>
        <v>Tablet</v>
      </c>
      <c r="I10" s="6" t="str">
        <f t="shared" si="1"/>
        <v>Tablet</v>
      </c>
      <c r="J10" s="6" t="s">
        <v>9</v>
      </c>
      <c r="K10" s="6">
        <v>500</v>
      </c>
    </row>
    <row r="11" spans="1:11">
      <c r="A11" s="10" t="s">
        <v>37</v>
      </c>
      <c r="B11" s="10" t="s">
        <v>38</v>
      </c>
      <c r="C11" s="10" t="s">
        <v>39</v>
      </c>
      <c r="D11" s="10">
        <v>130</v>
      </c>
      <c r="E11" s="10">
        <v>10</v>
      </c>
      <c r="F11" s="10" t="s">
        <v>40</v>
      </c>
      <c r="G11" s="6" t="str">
        <f t="shared" si="0"/>
        <v>Hiking Boots</v>
      </c>
      <c r="H11" s="6" t="str">
        <f t="shared" si="1"/>
        <v>Hiking Boots</v>
      </c>
      <c r="I11" s="6" t="str">
        <f t="shared" si="1"/>
        <v>Hiking Boots</v>
      </c>
      <c r="J11" s="6" t="s">
        <v>40</v>
      </c>
      <c r="K11" s="6">
        <v>130</v>
      </c>
    </row>
    <row r="12" spans="1:11">
      <c r="A12" s="9" t="s">
        <v>41</v>
      </c>
      <c r="B12" s="9" t="s">
        <v>42</v>
      </c>
      <c r="C12" s="9" t="s">
        <v>43</v>
      </c>
      <c r="D12" s="9">
        <v>950</v>
      </c>
      <c r="E12" s="9">
        <v>25</v>
      </c>
      <c r="F12" s="9" t="s">
        <v>9</v>
      </c>
      <c r="G12" s="6" t="str">
        <f t="shared" si="0"/>
        <v>Laptop</v>
      </c>
      <c r="H12" s="6" t="str">
        <f t="shared" si="1"/>
        <v>Laptop</v>
      </c>
      <c r="I12" s="6" t="str">
        <f t="shared" si="1"/>
        <v>Laptop</v>
      </c>
      <c r="J12" s="6" t="s">
        <v>9</v>
      </c>
      <c r="K12" s="6">
        <v>950</v>
      </c>
    </row>
    <row r="13" spans="1:11">
      <c r="A13" s="10" t="s">
        <v>44</v>
      </c>
      <c r="B13" s="10" t="s">
        <v>11</v>
      </c>
      <c r="C13" s="10" t="s">
        <v>30</v>
      </c>
      <c r="D13" s="10">
        <v>90</v>
      </c>
      <c r="E13" s="10">
        <v>40</v>
      </c>
      <c r="F13" s="10"/>
      <c r="G13" s="6" t="str">
        <f t="shared" si="0"/>
        <v>Sneakers</v>
      </c>
      <c r="H13" s="6" t="str">
        <f t="shared" si="1"/>
        <v>Sneakers</v>
      </c>
      <c r="I13" s="6" t="str">
        <f t="shared" si="1"/>
        <v>Sneakers</v>
      </c>
      <c r="J13" s="6" t="s">
        <v>13</v>
      </c>
      <c r="K13" s="6">
        <v>90</v>
      </c>
    </row>
    <row r="14" spans="1:11">
      <c r="A14" s="9" t="s">
        <v>45</v>
      </c>
      <c r="B14" s="9" t="s">
        <v>15</v>
      </c>
      <c r="C14" s="9" t="s">
        <v>46</v>
      </c>
      <c r="D14" s="9">
        <v>120</v>
      </c>
      <c r="E14" s="9">
        <v>35</v>
      </c>
      <c r="F14" s="9"/>
      <c r="G14" s="6" t="str">
        <f t="shared" si="0"/>
        <v>Coffee Maker</v>
      </c>
      <c r="H14" s="6" t="str">
        <f t="shared" si="1"/>
        <v>Coffee Maker</v>
      </c>
      <c r="I14" s="6" t="str">
        <f t="shared" si="1"/>
        <v>Coffee Maker</v>
      </c>
      <c r="J14" s="6" t="s">
        <v>17</v>
      </c>
      <c r="K14" s="6">
        <v>120</v>
      </c>
    </row>
    <row r="15" spans="1:11">
      <c r="A15" s="10" t="s">
        <v>47</v>
      </c>
      <c r="B15" s="10" t="s">
        <v>48</v>
      </c>
      <c r="C15" s="10" t="s">
        <v>49</v>
      </c>
      <c r="D15" s="10">
        <v>150</v>
      </c>
      <c r="E15" s="10">
        <v>15</v>
      </c>
      <c r="F15" s="10" t="s">
        <v>27</v>
      </c>
      <c r="G15" s="6" t="str">
        <f t="shared" si="0"/>
        <v>Smartwatch</v>
      </c>
      <c r="H15" s="6" t="str">
        <f t="shared" si="1"/>
        <v>Smartwatch</v>
      </c>
      <c r="I15" s="6" t="str">
        <f t="shared" si="1"/>
        <v>Smartwatch</v>
      </c>
      <c r="J15" s="6" t="s">
        <v>9</v>
      </c>
      <c r="K15" s="6">
        <v>150</v>
      </c>
    </row>
    <row r="16" spans="1:11">
      <c r="A16" s="9" t="s">
        <v>50</v>
      </c>
      <c r="B16" s="9" t="s">
        <v>51</v>
      </c>
      <c r="C16" s="9" t="s">
        <v>52</v>
      </c>
      <c r="D16" s="9">
        <v>250</v>
      </c>
      <c r="E16" s="9">
        <v>20</v>
      </c>
      <c r="F16" s="9" t="s">
        <v>27</v>
      </c>
      <c r="G16" s="6" t="str">
        <f t="shared" si="0"/>
        <v>Headphones</v>
      </c>
      <c r="H16" s="6" t="str">
        <f t="shared" si="1"/>
        <v>Headphones</v>
      </c>
      <c r="I16" s="6" t="str">
        <f t="shared" si="1"/>
        <v>Headphones</v>
      </c>
      <c r="J16" s="6" t="s">
        <v>9</v>
      </c>
      <c r="K16" s="6">
        <v>250</v>
      </c>
    </row>
    <row r="17" spans="1:11">
      <c r="A17" s="10" t="s">
        <v>53</v>
      </c>
      <c r="B17" s="10" t="s">
        <v>54</v>
      </c>
      <c r="C17" s="10" t="s">
        <v>55</v>
      </c>
      <c r="D17" s="10">
        <v>50</v>
      </c>
      <c r="E17" s="10">
        <v>35</v>
      </c>
      <c r="F17" s="10" t="s">
        <v>56</v>
      </c>
      <c r="G17" s="6" t="str">
        <f t="shared" si="0"/>
        <v>Laptop Bag</v>
      </c>
      <c r="H17" s="6" t="str">
        <f t="shared" si="1"/>
        <v>Laptop Bag</v>
      </c>
      <c r="I17" s="6" t="str">
        <f t="shared" si="1"/>
        <v>Laptop Bag</v>
      </c>
      <c r="J17" s="6" t="s">
        <v>56</v>
      </c>
      <c r="K17" s="6">
        <v>50</v>
      </c>
    </row>
    <row r="18" spans="1:11">
      <c r="A18" s="9" t="s">
        <v>57</v>
      </c>
      <c r="B18" s="9" t="s">
        <v>48</v>
      </c>
      <c r="C18" s="9" t="s">
        <v>58</v>
      </c>
      <c r="D18" s="9">
        <v>160</v>
      </c>
      <c r="E18" s="9">
        <v>15</v>
      </c>
      <c r="F18" s="9" t="s">
        <v>27</v>
      </c>
      <c r="G18" s="6" t="str">
        <f t="shared" si="0"/>
        <v>Smartwatch</v>
      </c>
      <c r="H18" s="6" t="str">
        <f t="shared" si="1"/>
        <v>Smartwatch</v>
      </c>
      <c r="I18" s="6" t="str">
        <f t="shared" si="1"/>
        <v>Smartwatch</v>
      </c>
      <c r="J18" s="6" t="s">
        <v>9</v>
      </c>
      <c r="K18" s="6">
        <v>160</v>
      </c>
    </row>
    <row r="19" spans="1:11">
      <c r="A19" s="10" t="s">
        <v>59</v>
      </c>
      <c r="B19" s="10" t="s">
        <v>7</v>
      </c>
      <c r="C19" s="10" t="s">
        <v>60</v>
      </c>
      <c r="D19" s="10">
        <v>980</v>
      </c>
      <c r="E19" s="10">
        <v>10</v>
      </c>
      <c r="F19" s="10" t="s">
        <v>9</v>
      </c>
      <c r="G19" s="6" t="str">
        <f t="shared" si="0"/>
        <v>Laptop</v>
      </c>
      <c r="H19" s="6" t="str">
        <f t="shared" si="1"/>
        <v>Laptop</v>
      </c>
      <c r="I19" s="6" t="str">
        <f t="shared" si="1"/>
        <v>Laptop</v>
      </c>
      <c r="J19" s="6" t="s">
        <v>9</v>
      </c>
      <c r="K19" s="6">
        <v>980</v>
      </c>
    </row>
    <row r="20" spans="1:11">
      <c r="A20" s="9" t="s">
        <v>61</v>
      </c>
      <c r="B20" s="9" t="s">
        <v>62</v>
      </c>
      <c r="C20" s="9" t="s">
        <v>63</v>
      </c>
      <c r="D20" s="9">
        <v>150</v>
      </c>
      <c r="E20" s="9">
        <v>15</v>
      </c>
      <c r="F20" s="9" t="s">
        <v>13</v>
      </c>
      <c r="G20" s="6" t="str">
        <f t="shared" si="0"/>
        <v>Sunglasses</v>
      </c>
      <c r="H20" s="6" t="str">
        <f t="shared" si="1"/>
        <v>Sunglasses</v>
      </c>
      <c r="I20" s="6" t="str">
        <f t="shared" si="1"/>
        <v>Sunglasses</v>
      </c>
      <c r="J20" s="6" t="s">
        <v>13</v>
      </c>
      <c r="K20" s="6">
        <v>150</v>
      </c>
    </row>
    <row r="21" spans="1:11">
      <c r="A21" s="10" t="s">
        <v>64</v>
      </c>
      <c r="B21" s="10" t="s">
        <v>65</v>
      </c>
      <c r="C21" s="10" t="s">
        <v>66</v>
      </c>
      <c r="D21" s="10"/>
      <c r="E21" s="10">
        <v>10</v>
      </c>
      <c r="F21" s="10" t="s">
        <v>40</v>
      </c>
      <c r="G21" s="6" t="str">
        <f t="shared" si="0"/>
        <v>Camping Tent</v>
      </c>
      <c r="H21" s="6" t="str">
        <f t="shared" si="1"/>
        <v>Camping Tent</v>
      </c>
      <c r="I21" s="6" t="str">
        <f t="shared" si="1"/>
        <v>Camping Tent</v>
      </c>
      <c r="J21" s="6" t="s">
        <v>40</v>
      </c>
      <c r="K21" s="6">
        <v>130</v>
      </c>
    </row>
    <row r="22" spans="1:11">
      <c r="A22" s="9" t="s">
        <v>67</v>
      </c>
      <c r="B22" s="9" t="s">
        <v>68</v>
      </c>
      <c r="C22" s="9" t="s">
        <v>69</v>
      </c>
      <c r="D22" s="9">
        <v>700</v>
      </c>
      <c r="E22" s="9">
        <v>50</v>
      </c>
      <c r="F22" s="9" t="s">
        <v>9</v>
      </c>
      <c r="G22" s="6" t="str">
        <f t="shared" si="0"/>
        <v>Camera</v>
      </c>
      <c r="H22" s="6" t="str">
        <f t="shared" si="1"/>
        <v>Camera</v>
      </c>
      <c r="I22" s="6" t="str">
        <f t="shared" si="1"/>
        <v>Camera</v>
      </c>
      <c r="J22" s="6" t="s">
        <v>9</v>
      </c>
      <c r="K22" s="6">
        <v>700</v>
      </c>
    </row>
    <row r="23" spans="1:11">
      <c r="A23" s="10" t="s">
        <v>70</v>
      </c>
      <c r="B23" s="10" t="s">
        <v>71</v>
      </c>
      <c r="C23" s="10" t="s">
        <v>72</v>
      </c>
      <c r="D23" s="10">
        <v>80</v>
      </c>
      <c r="E23" s="10">
        <v>20</v>
      </c>
      <c r="F23" s="10" t="s">
        <v>17</v>
      </c>
      <c r="G23" s="6" t="str">
        <f t="shared" si="0"/>
        <v>Microwave</v>
      </c>
      <c r="H23" s="6" t="str">
        <f t="shared" si="1"/>
        <v>Microwave</v>
      </c>
      <c r="I23" s="6" t="str">
        <f t="shared" si="1"/>
        <v>Microwave</v>
      </c>
      <c r="J23" s="6" t="s">
        <v>17</v>
      </c>
      <c r="K23" s="6">
        <v>80</v>
      </c>
    </row>
    <row r="24" spans="1:11">
      <c r="A24" s="9" t="s">
        <v>73</v>
      </c>
      <c r="B24" s="9" t="s">
        <v>74</v>
      </c>
      <c r="C24" s="9" t="s">
        <v>75</v>
      </c>
      <c r="D24" s="9">
        <v>150</v>
      </c>
      <c r="E24" s="9">
        <v>30</v>
      </c>
      <c r="F24" s="9"/>
      <c r="G24" s="6" t="str">
        <f t="shared" si="0"/>
        <v>Fitness Tracker</v>
      </c>
      <c r="H24" s="6" t="str">
        <f t="shared" si="1"/>
        <v>Fitness Tracker</v>
      </c>
      <c r="I24" s="6" t="str">
        <f t="shared" si="1"/>
        <v>Fitness Tracker</v>
      </c>
      <c r="J24" s="6" t="s">
        <v>9</v>
      </c>
      <c r="K24" s="6">
        <v>150</v>
      </c>
    </row>
    <row r="25" spans="1:11">
      <c r="A25" s="9" t="s">
        <v>76</v>
      </c>
      <c r="B25" s="9" t="s">
        <v>77</v>
      </c>
      <c r="C25" s="9" t="s">
        <v>78</v>
      </c>
      <c r="D25" s="9">
        <v>800</v>
      </c>
      <c r="E25" s="9">
        <v>45</v>
      </c>
      <c r="F25" s="9" t="s">
        <v>9</v>
      </c>
      <c r="G25" s="6" t="str">
        <f t="shared" si="0"/>
        <v>Smartphone</v>
      </c>
      <c r="H25" s="6" t="str">
        <f t="shared" si="1"/>
        <v>Smartphone</v>
      </c>
      <c r="I25" s="6" t="str">
        <f t="shared" si="1"/>
        <v>Smartphone</v>
      </c>
      <c r="J25" s="6" t="s">
        <v>9</v>
      </c>
      <c r="K25" s="6">
        <v>800</v>
      </c>
    </row>
    <row r="26" spans="1:11">
      <c r="A26" s="10" t="s">
        <v>79</v>
      </c>
      <c r="B26" s="10" t="s">
        <v>62</v>
      </c>
      <c r="C26" s="10" t="s">
        <v>80</v>
      </c>
      <c r="D26" s="10"/>
      <c r="E26" s="10">
        <v>25</v>
      </c>
      <c r="F26" s="10" t="s">
        <v>13</v>
      </c>
      <c r="G26" s="6" t="str">
        <f t="shared" si="0"/>
        <v>Sunglasses</v>
      </c>
      <c r="H26" s="6" t="str">
        <f t="shared" si="1"/>
        <v>Sunglasses</v>
      </c>
      <c r="I26" s="6" t="str">
        <f t="shared" si="1"/>
        <v>Sunglasses</v>
      </c>
      <c r="J26" s="6" t="s">
        <v>13</v>
      </c>
      <c r="K26" s="6">
        <v>115</v>
      </c>
    </row>
    <row r="27" spans="1:11">
      <c r="A27" s="9" t="s">
        <v>81</v>
      </c>
      <c r="B27" s="9" t="s">
        <v>32</v>
      </c>
      <c r="C27" s="9" t="s">
        <v>82</v>
      </c>
      <c r="D27" s="9">
        <v>400</v>
      </c>
      <c r="E27" s="9">
        <v>40</v>
      </c>
      <c r="F27" s="9" t="s">
        <v>17</v>
      </c>
      <c r="G27" s="6" t="str">
        <f t="shared" si="0"/>
        <v>Blender</v>
      </c>
      <c r="H27" s="6" t="str">
        <f t="shared" si="1"/>
        <v>Blender</v>
      </c>
      <c r="I27" s="6" t="str">
        <f t="shared" si="1"/>
        <v>Blender</v>
      </c>
      <c r="J27" s="6" t="s">
        <v>17</v>
      </c>
      <c r="K27" s="6">
        <v>400</v>
      </c>
    </row>
    <row r="28" spans="1:11">
      <c r="A28" s="9" t="s">
        <v>83</v>
      </c>
      <c r="B28" s="9" t="s">
        <v>84</v>
      </c>
      <c r="C28" s="9" t="s">
        <v>85</v>
      </c>
      <c r="D28" s="9">
        <v>60</v>
      </c>
      <c r="E28" s="9">
        <v>30</v>
      </c>
      <c r="F28" s="9" t="s">
        <v>13</v>
      </c>
      <c r="G28" s="6" t="str">
        <f t="shared" si="0"/>
        <v>Dress</v>
      </c>
      <c r="H28" s="6" t="str">
        <f t="shared" si="1"/>
        <v>Dress</v>
      </c>
      <c r="I28" s="6" t="str">
        <f t="shared" si="1"/>
        <v>Dress</v>
      </c>
      <c r="J28" s="6" t="s">
        <v>13</v>
      </c>
      <c r="K28" s="6">
        <v>60</v>
      </c>
    </row>
    <row r="29" spans="1:11">
      <c r="A29" s="10" t="s">
        <v>86</v>
      </c>
      <c r="B29" s="10" t="s">
        <v>87</v>
      </c>
      <c r="C29" s="10" t="s">
        <v>88</v>
      </c>
      <c r="D29" s="10">
        <v>40</v>
      </c>
      <c r="E29" s="10">
        <v>10</v>
      </c>
      <c r="F29" s="10" t="s">
        <v>17</v>
      </c>
      <c r="G29" s="6" t="str">
        <f t="shared" si="0"/>
        <v>Toaster</v>
      </c>
      <c r="H29" s="6" t="str">
        <f t="shared" si="1"/>
        <v>Toaster</v>
      </c>
      <c r="I29" s="6" t="str">
        <f t="shared" si="1"/>
        <v>Toaster</v>
      </c>
      <c r="J29" s="6" t="s">
        <v>17</v>
      </c>
      <c r="K29" s="6">
        <v>40</v>
      </c>
    </row>
    <row r="30" spans="1:11">
      <c r="A30" s="9" t="s">
        <v>89</v>
      </c>
      <c r="B30" s="9" t="s">
        <v>74</v>
      </c>
      <c r="C30" s="9" t="s">
        <v>90</v>
      </c>
      <c r="D30" s="9">
        <v>130</v>
      </c>
      <c r="E30" s="9">
        <v>5</v>
      </c>
      <c r="F30" s="9" t="s">
        <v>9</v>
      </c>
      <c r="G30" s="6" t="str">
        <f t="shared" si="0"/>
        <v>Fitness Tracker</v>
      </c>
      <c r="H30" s="6" t="str">
        <f t="shared" si="1"/>
        <v>Fitness Tracker</v>
      </c>
      <c r="I30" s="6" t="str">
        <f t="shared" si="1"/>
        <v>Fitness Tracker</v>
      </c>
      <c r="J30" s="6" t="s">
        <v>9</v>
      </c>
      <c r="K30" s="6">
        <v>130</v>
      </c>
    </row>
    <row r="31" spans="1:11">
      <c r="A31" s="10" t="s">
        <v>91</v>
      </c>
      <c r="B31" s="10" t="s">
        <v>92</v>
      </c>
      <c r="C31" s="10" t="s">
        <v>93</v>
      </c>
      <c r="D31" s="10">
        <v>50</v>
      </c>
      <c r="E31" s="10">
        <v>50</v>
      </c>
      <c r="F31" s="10" t="s">
        <v>13</v>
      </c>
      <c r="G31" s="6" t="str">
        <f t="shared" si="0"/>
        <v>Jeans</v>
      </c>
      <c r="H31" s="6" t="str">
        <f t="shared" si="1"/>
        <v>Jeans</v>
      </c>
      <c r="I31" s="6" t="str">
        <f t="shared" si="1"/>
        <v>Jeans</v>
      </c>
      <c r="J31" s="6" t="s">
        <v>13</v>
      </c>
      <c r="K31" s="6">
        <v>50</v>
      </c>
    </row>
    <row r="32" spans="1:11">
      <c r="A32" s="10" t="s">
        <v>94</v>
      </c>
      <c r="B32" s="10" t="s">
        <v>95</v>
      </c>
      <c r="C32" s="10" t="s">
        <v>96</v>
      </c>
      <c r="D32" s="10">
        <v>100</v>
      </c>
      <c r="E32" s="10">
        <v>20</v>
      </c>
      <c r="F32" s="10" t="s">
        <v>56</v>
      </c>
      <c r="G32" s="6" t="str">
        <f t="shared" si="0"/>
        <v>Watch</v>
      </c>
      <c r="H32" s="6" t="str">
        <f t="shared" si="1"/>
        <v>Watch</v>
      </c>
      <c r="I32" s="6" t="str">
        <f t="shared" si="1"/>
        <v>Watch</v>
      </c>
      <c r="J32" s="6" t="s">
        <v>56</v>
      </c>
      <c r="K32" s="6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9B94-0244-41C0-B83E-5F0AAB910F2F}">
  <dimension ref="A1:L32"/>
  <sheetViews>
    <sheetView workbookViewId="0">
      <selection activeCell="L2" sqref="L2"/>
    </sheetView>
  </sheetViews>
  <sheetFormatPr defaultRowHeight="13.2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7" width="21.33203125" bestFit="1" customWidth="1"/>
    <col min="8" max="8" width="16.6640625" bestFit="1" customWidth="1"/>
    <col min="9" max="9" width="7.5546875" bestFit="1" customWidth="1"/>
    <col min="10" max="10" width="18.21875" style="14" bestFit="1" customWidth="1"/>
    <col min="11" max="11" width="13.33203125" bestFit="1" customWidth="1"/>
    <col min="12" max="13" width="21.44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99</v>
      </c>
      <c r="H1" s="13" t="s">
        <v>100</v>
      </c>
      <c r="I1" s="15"/>
      <c r="J1" s="12" t="s">
        <v>101</v>
      </c>
      <c r="K1" s="12" t="s">
        <v>102</v>
      </c>
      <c r="L1" s="7" t="s">
        <v>107</v>
      </c>
    </row>
    <row r="2" spans="1:12">
      <c r="A2" s="9" t="s">
        <v>6</v>
      </c>
      <c r="B2" s="9" t="s">
        <v>7</v>
      </c>
      <c r="C2" s="9" t="s">
        <v>8</v>
      </c>
      <c r="D2" s="9">
        <v>1000</v>
      </c>
      <c r="E2" s="9">
        <v>30</v>
      </c>
      <c r="F2" s="9" t="s">
        <v>9</v>
      </c>
      <c r="G2" s="16" t="s">
        <v>42</v>
      </c>
      <c r="H2" s="6" t="s">
        <v>9</v>
      </c>
      <c r="I2" s="15" t="str">
        <f t="shared" ref="I2:I32" si="0">LEFT(A2,6)</f>
        <v>28-JAN</v>
      </c>
      <c r="J2" s="16">
        <f>DATEVALUE(I2)</f>
        <v>46050</v>
      </c>
      <c r="K2" s="6" t="str">
        <f t="shared" ref="K2:K32" si="1">RIGHT(A2,2)</f>
        <v>US</v>
      </c>
      <c r="L2" t="str">
        <f t="shared" ref="L2:L32" si="2">CONCATENATE(G2," ",C2)</f>
        <v>Laptop Dell</v>
      </c>
    </row>
    <row r="3" spans="1:12">
      <c r="A3" s="10" t="s">
        <v>10</v>
      </c>
      <c r="B3" s="10" t="s">
        <v>11</v>
      </c>
      <c r="C3" s="10" t="s">
        <v>12</v>
      </c>
      <c r="D3" s="10">
        <v>80</v>
      </c>
      <c r="E3" s="10">
        <v>15</v>
      </c>
      <c r="F3" s="10" t="s">
        <v>13</v>
      </c>
      <c r="G3" s="16" t="s">
        <v>11</v>
      </c>
      <c r="H3" s="6" t="s">
        <v>13</v>
      </c>
      <c r="I3" s="15" t="str">
        <f t="shared" si="0"/>
        <v>15-FEB</v>
      </c>
      <c r="J3" s="16">
        <f t="shared" ref="J3:J32" si="3">DATEVALUE(I3)</f>
        <v>46068</v>
      </c>
      <c r="K3" s="6" t="str">
        <f t="shared" si="1"/>
        <v>US</v>
      </c>
      <c r="L3" t="str">
        <f t="shared" si="2"/>
        <v>Sneakers Nike</v>
      </c>
    </row>
    <row r="4" spans="1:12">
      <c r="A4" s="9" t="s">
        <v>14</v>
      </c>
      <c r="B4" s="9" t="s">
        <v>15</v>
      </c>
      <c r="C4" s="9" t="s">
        <v>16</v>
      </c>
      <c r="D4" s="9">
        <v>130</v>
      </c>
      <c r="E4" s="9">
        <v>40</v>
      </c>
      <c r="F4" s="9" t="s">
        <v>17</v>
      </c>
      <c r="G4" s="16" t="s">
        <v>15</v>
      </c>
      <c r="H4" s="6" t="s">
        <v>17</v>
      </c>
      <c r="I4" s="15" t="str">
        <f t="shared" si="0"/>
        <v>03-MAR</v>
      </c>
      <c r="J4" s="16">
        <f t="shared" si="3"/>
        <v>46084</v>
      </c>
      <c r="K4" s="6" t="str">
        <f t="shared" si="1"/>
        <v>US</v>
      </c>
      <c r="L4" t="str">
        <f t="shared" si="2"/>
        <v>Coffee Maker Keurig</v>
      </c>
    </row>
    <row r="5" spans="1:12">
      <c r="A5" s="10" t="s">
        <v>18</v>
      </c>
      <c r="B5" s="10" t="s">
        <v>19</v>
      </c>
      <c r="C5" s="10" t="s">
        <v>20</v>
      </c>
      <c r="D5" s="10">
        <v>900</v>
      </c>
      <c r="E5" s="10">
        <v>25</v>
      </c>
      <c r="F5" s="10" t="s">
        <v>9</v>
      </c>
      <c r="G5" s="16" t="s">
        <v>77</v>
      </c>
      <c r="H5" s="6" t="s">
        <v>9</v>
      </c>
      <c r="I5" s="15" t="str">
        <f t="shared" si="0"/>
        <v>11-APR</v>
      </c>
      <c r="J5" s="16">
        <f t="shared" si="3"/>
        <v>46123</v>
      </c>
      <c r="K5" s="6" t="str">
        <f t="shared" si="1"/>
        <v>US</v>
      </c>
      <c r="L5" t="str">
        <f t="shared" si="2"/>
        <v>Smartphone Samsung</v>
      </c>
    </row>
    <row r="6" spans="1:12">
      <c r="A6" s="9" t="s">
        <v>21</v>
      </c>
      <c r="B6" s="9" t="s">
        <v>22</v>
      </c>
      <c r="C6" s="9" t="s">
        <v>23</v>
      </c>
      <c r="D6" s="9">
        <v>70</v>
      </c>
      <c r="E6" s="9">
        <v>20</v>
      </c>
      <c r="F6" s="9"/>
      <c r="G6" s="16" t="s">
        <v>22</v>
      </c>
      <c r="H6" s="6"/>
      <c r="I6" s="15" t="str">
        <f t="shared" si="0"/>
        <v>22-MAY</v>
      </c>
      <c r="J6" s="16">
        <f t="shared" si="3"/>
        <v>46164</v>
      </c>
      <c r="K6" s="6" t="str">
        <f t="shared" si="1"/>
        <v>US</v>
      </c>
      <c r="L6" t="str">
        <f t="shared" si="2"/>
        <v>Backpack North Face</v>
      </c>
    </row>
    <row r="7" spans="1:12">
      <c r="A7" s="10" t="s">
        <v>24</v>
      </c>
      <c r="B7" s="10" t="s">
        <v>25</v>
      </c>
      <c r="C7" s="10" t="s">
        <v>26</v>
      </c>
      <c r="D7" s="10"/>
      <c r="E7" s="10">
        <v>45</v>
      </c>
      <c r="F7" s="10" t="s">
        <v>27</v>
      </c>
      <c r="G7" s="16" t="s">
        <v>25</v>
      </c>
      <c r="H7" s="6" t="s">
        <v>9</v>
      </c>
      <c r="I7" s="15" t="str">
        <f t="shared" si="0"/>
        <v>07-JUN</v>
      </c>
      <c r="J7" s="16">
        <f t="shared" si="3"/>
        <v>46180</v>
      </c>
      <c r="K7" s="6" t="str">
        <f t="shared" si="1"/>
        <v>UK</v>
      </c>
      <c r="L7" t="str">
        <f t="shared" si="2"/>
        <v>Headphones Sony</v>
      </c>
    </row>
    <row r="8" spans="1:12">
      <c r="A8" s="9" t="s">
        <v>28</v>
      </c>
      <c r="B8" s="9" t="s">
        <v>29</v>
      </c>
      <c r="C8" s="9" t="s">
        <v>30</v>
      </c>
      <c r="D8" s="9">
        <v>30</v>
      </c>
      <c r="E8" s="9">
        <v>5</v>
      </c>
      <c r="F8" s="9" t="s">
        <v>13</v>
      </c>
      <c r="G8" s="16" t="s">
        <v>106</v>
      </c>
      <c r="H8" s="6" t="s">
        <v>13</v>
      </c>
      <c r="I8" s="15" t="str">
        <f t="shared" si="0"/>
        <v>19-JUL</v>
      </c>
      <c r="J8" s="16">
        <f t="shared" si="3"/>
        <v>46222</v>
      </c>
      <c r="K8" s="6" t="str">
        <f t="shared" si="1"/>
        <v>UK</v>
      </c>
      <c r="L8" t="str">
        <f t="shared" si="2"/>
        <v>T-Shirt Adidas</v>
      </c>
    </row>
    <row r="9" spans="1:12">
      <c r="A9" s="10" t="s">
        <v>31</v>
      </c>
      <c r="B9" s="10" t="s">
        <v>32</v>
      </c>
      <c r="C9" s="10" t="s">
        <v>33</v>
      </c>
      <c r="D9" s="10">
        <v>90</v>
      </c>
      <c r="E9" s="10">
        <v>35</v>
      </c>
      <c r="F9" s="10" t="s">
        <v>17</v>
      </c>
      <c r="G9" s="16" t="s">
        <v>32</v>
      </c>
      <c r="H9" s="6" t="s">
        <v>17</v>
      </c>
      <c r="I9" s="15" t="str">
        <f t="shared" si="0"/>
        <v>23-AUG</v>
      </c>
      <c r="J9" s="16">
        <f t="shared" si="3"/>
        <v>46257</v>
      </c>
      <c r="K9" s="6" t="str">
        <f t="shared" si="1"/>
        <v>UK</v>
      </c>
      <c r="L9" t="str">
        <f t="shared" si="2"/>
        <v>Blender Ninja</v>
      </c>
    </row>
    <row r="10" spans="1:12">
      <c r="A10" s="9" t="s">
        <v>34</v>
      </c>
      <c r="B10" s="9" t="s">
        <v>35</v>
      </c>
      <c r="C10" s="9" t="s">
        <v>36</v>
      </c>
      <c r="D10" s="9">
        <v>500</v>
      </c>
      <c r="E10" s="9">
        <v>50</v>
      </c>
      <c r="F10" s="9" t="s">
        <v>9</v>
      </c>
      <c r="G10" s="16" t="s">
        <v>35</v>
      </c>
      <c r="H10" s="6" t="s">
        <v>9</v>
      </c>
      <c r="I10" s="15" t="str">
        <f t="shared" si="0"/>
        <v>05-SEP</v>
      </c>
      <c r="J10" s="16">
        <f t="shared" si="3"/>
        <v>46270</v>
      </c>
      <c r="K10" s="6" t="str">
        <f t="shared" si="1"/>
        <v>UK</v>
      </c>
      <c r="L10" t="str">
        <f t="shared" si="2"/>
        <v>Tablet Apple</v>
      </c>
    </row>
    <row r="11" spans="1:12">
      <c r="A11" s="10" t="s">
        <v>37</v>
      </c>
      <c r="B11" s="10" t="s">
        <v>38</v>
      </c>
      <c r="C11" s="10" t="s">
        <v>39</v>
      </c>
      <c r="D11" s="10">
        <v>130</v>
      </c>
      <c r="E11" s="10">
        <v>10</v>
      </c>
      <c r="F11" s="10" t="s">
        <v>40</v>
      </c>
      <c r="G11" s="16" t="s">
        <v>38</v>
      </c>
      <c r="H11" s="6" t="s">
        <v>40</v>
      </c>
      <c r="I11" s="15" t="str">
        <f t="shared" si="0"/>
        <v>14-OCT</v>
      </c>
      <c r="J11" s="16">
        <f t="shared" si="3"/>
        <v>46309</v>
      </c>
      <c r="K11" s="6" t="str">
        <f t="shared" si="1"/>
        <v>UK</v>
      </c>
      <c r="L11" t="str">
        <f t="shared" si="2"/>
        <v>Hiking Boots Timberland</v>
      </c>
    </row>
    <row r="12" spans="1:12">
      <c r="A12" s="9" t="s">
        <v>41</v>
      </c>
      <c r="B12" s="9" t="s">
        <v>42</v>
      </c>
      <c r="C12" s="9" t="s">
        <v>43</v>
      </c>
      <c r="D12" s="9">
        <v>950</v>
      </c>
      <c r="E12" s="9">
        <v>25</v>
      </c>
      <c r="F12" s="9" t="s">
        <v>9</v>
      </c>
      <c r="G12" s="16" t="s">
        <v>42</v>
      </c>
      <c r="H12" s="6" t="s">
        <v>9</v>
      </c>
      <c r="I12" s="15" t="str">
        <f t="shared" si="0"/>
        <v>17-JUN</v>
      </c>
      <c r="J12" s="16">
        <f t="shared" si="3"/>
        <v>46190</v>
      </c>
      <c r="K12" s="6" t="str">
        <f t="shared" si="1"/>
        <v>IN</v>
      </c>
      <c r="L12" t="str">
        <f t="shared" si="2"/>
        <v>Laptop HP</v>
      </c>
    </row>
    <row r="13" spans="1:12">
      <c r="A13" s="10" t="s">
        <v>44</v>
      </c>
      <c r="B13" s="10" t="s">
        <v>11</v>
      </c>
      <c r="C13" s="10" t="s">
        <v>30</v>
      </c>
      <c r="D13" s="10">
        <v>90</v>
      </c>
      <c r="E13" s="10">
        <v>40</v>
      </c>
      <c r="F13" s="10"/>
      <c r="G13" s="16" t="s">
        <v>11</v>
      </c>
      <c r="H13" s="6"/>
      <c r="I13" s="15" t="str">
        <f t="shared" si="0"/>
        <v>25-NOV</v>
      </c>
      <c r="J13" s="16">
        <f t="shared" si="3"/>
        <v>46351</v>
      </c>
      <c r="K13" s="6" t="str">
        <f t="shared" si="1"/>
        <v>AU</v>
      </c>
      <c r="L13" t="str">
        <f t="shared" si="2"/>
        <v>Sneakers Adidas</v>
      </c>
    </row>
    <row r="14" spans="1:12">
      <c r="A14" s="9" t="s">
        <v>45</v>
      </c>
      <c r="B14" s="9" t="s">
        <v>15</v>
      </c>
      <c r="C14" s="9" t="s">
        <v>46</v>
      </c>
      <c r="D14" s="9">
        <v>120</v>
      </c>
      <c r="E14" s="9">
        <v>35</v>
      </c>
      <c r="F14" s="9"/>
      <c r="G14" s="16" t="s">
        <v>15</v>
      </c>
      <c r="H14" s="6"/>
      <c r="I14" s="15" t="str">
        <f t="shared" si="0"/>
        <v>08-DEC</v>
      </c>
      <c r="J14" s="16">
        <f t="shared" si="3"/>
        <v>46364</v>
      </c>
      <c r="K14" s="6" t="str">
        <f t="shared" si="1"/>
        <v>DE</v>
      </c>
      <c r="L14" t="str">
        <f t="shared" si="2"/>
        <v>Coffee Maker Nespresso</v>
      </c>
    </row>
    <row r="15" spans="1:12">
      <c r="A15" s="10" t="s">
        <v>47</v>
      </c>
      <c r="B15" s="10" t="s">
        <v>48</v>
      </c>
      <c r="C15" s="10" t="s">
        <v>49</v>
      </c>
      <c r="D15" s="10">
        <v>150</v>
      </c>
      <c r="E15" s="10">
        <v>15</v>
      </c>
      <c r="F15" s="10" t="s">
        <v>27</v>
      </c>
      <c r="G15" s="16" t="s">
        <v>48</v>
      </c>
      <c r="H15" s="6" t="s">
        <v>9</v>
      </c>
      <c r="I15" s="15" t="str">
        <f t="shared" si="0"/>
        <v>18-FEB</v>
      </c>
      <c r="J15" s="16">
        <f t="shared" si="3"/>
        <v>46071</v>
      </c>
      <c r="K15" s="6" t="str">
        <f t="shared" si="1"/>
        <v>CA</v>
      </c>
      <c r="L15" t="str">
        <f t="shared" si="2"/>
        <v>Smartwatch Fitbit</v>
      </c>
    </row>
    <row r="16" spans="1:12">
      <c r="A16" s="9" t="s">
        <v>50</v>
      </c>
      <c r="B16" s="9" t="s">
        <v>51</v>
      </c>
      <c r="C16" s="9" t="s">
        <v>52</v>
      </c>
      <c r="D16" s="9">
        <v>250</v>
      </c>
      <c r="E16" s="9">
        <v>20</v>
      </c>
      <c r="F16" s="9" t="s">
        <v>27</v>
      </c>
      <c r="G16" s="16" t="s">
        <v>25</v>
      </c>
      <c r="H16" s="6" t="s">
        <v>9</v>
      </c>
      <c r="I16" s="15" t="str">
        <f t="shared" si="0"/>
        <v>16-APR</v>
      </c>
      <c r="J16" s="16">
        <f t="shared" si="3"/>
        <v>46128</v>
      </c>
      <c r="K16" s="6" t="str">
        <f t="shared" si="1"/>
        <v>ES</v>
      </c>
      <c r="L16" t="str">
        <f t="shared" si="2"/>
        <v>Headphones Bose</v>
      </c>
    </row>
    <row r="17" spans="1:12">
      <c r="A17" s="10" t="s">
        <v>53</v>
      </c>
      <c r="B17" s="10" t="s">
        <v>54</v>
      </c>
      <c r="C17" s="10" t="s">
        <v>55</v>
      </c>
      <c r="D17" s="10">
        <v>50</v>
      </c>
      <c r="E17" s="10">
        <v>35</v>
      </c>
      <c r="F17" s="10" t="s">
        <v>56</v>
      </c>
      <c r="G17" s="16" t="s">
        <v>54</v>
      </c>
      <c r="H17" s="6" t="s">
        <v>56</v>
      </c>
      <c r="I17" s="15" t="str">
        <f t="shared" si="0"/>
        <v>21-AUG</v>
      </c>
      <c r="J17" s="16">
        <f t="shared" si="3"/>
        <v>46255</v>
      </c>
      <c r="K17" s="6" t="str">
        <f t="shared" si="1"/>
        <v>CA</v>
      </c>
      <c r="L17" t="str">
        <f t="shared" si="2"/>
        <v>Laptop Bag Samsonite</v>
      </c>
    </row>
    <row r="18" spans="1:12">
      <c r="A18" s="9" t="s">
        <v>57</v>
      </c>
      <c r="B18" s="9" t="s">
        <v>48</v>
      </c>
      <c r="C18" s="9" t="s">
        <v>58</v>
      </c>
      <c r="D18" s="9">
        <v>160</v>
      </c>
      <c r="E18" s="9">
        <v>15</v>
      </c>
      <c r="F18" s="9" t="s">
        <v>27</v>
      </c>
      <c r="G18" s="16" t="s">
        <v>48</v>
      </c>
      <c r="H18" s="6" t="s">
        <v>9</v>
      </c>
      <c r="I18" s="15" t="str">
        <f t="shared" si="0"/>
        <v>20-AUG</v>
      </c>
      <c r="J18" s="16">
        <f t="shared" si="3"/>
        <v>46254</v>
      </c>
      <c r="K18" s="6" t="str">
        <f t="shared" si="1"/>
        <v>CN</v>
      </c>
      <c r="L18" t="str">
        <f t="shared" si="2"/>
        <v>Smartwatch Huawei</v>
      </c>
    </row>
    <row r="19" spans="1:12">
      <c r="A19" s="10" t="s">
        <v>59</v>
      </c>
      <c r="B19" s="10" t="s">
        <v>7</v>
      </c>
      <c r="C19" s="10" t="s">
        <v>60</v>
      </c>
      <c r="D19" s="10">
        <v>980</v>
      </c>
      <c r="E19" s="10">
        <v>10</v>
      </c>
      <c r="F19" s="10" t="s">
        <v>9</v>
      </c>
      <c r="G19" s="16" t="s">
        <v>42</v>
      </c>
      <c r="H19" s="6" t="s">
        <v>9</v>
      </c>
      <c r="I19" s="15" t="str">
        <f t="shared" si="0"/>
        <v>27-JAN</v>
      </c>
      <c r="J19" s="16">
        <f t="shared" si="3"/>
        <v>46049</v>
      </c>
      <c r="K19" s="6" t="str">
        <f t="shared" si="1"/>
        <v>IT</v>
      </c>
      <c r="L19" t="str">
        <f t="shared" si="2"/>
        <v>Laptop Asus</v>
      </c>
    </row>
    <row r="20" spans="1:12">
      <c r="A20" s="9" t="s">
        <v>61</v>
      </c>
      <c r="B20" s="9" t="s">
        <v>62</v>
      </c>
      <c r="C20" s="9" t="s">
        <v>63</v>
      </c>
      <c r="D20" s="9">
        <v>150</v>
      </c>
      <c r="E20" s="9">
        <v>15</v>
      </c>
      <c r="F20" s="9" t="s">
        <v>13</v>
      </c>
      <c r="G20" s="16" t="s">
        <v>62</v>
      </c>
      <c r="H20" s="6" t="s">
        <v>13</v>
      </c>
      <c r="I20" s="15" t="str">
        <f t="shared" si="0"/>
        <v>01-MAR</v>
      </c>
      <c r="J20" s="16">
        <f t="shared" si="3"/>
        <v>46082</v>
      </c>
      <c r="K20" s="6" t="str">
        <f t="shared" si="1"/>
        <v>UK</v>
      </c>
      <c r="L20" t="str">
        <f t="shared" si="2"/>
        <v>Sunglasses Oakley</v>
      </c>
    </row>
    <row r="21" spans="1:12">
      <c r="A21" s="10" t="s">
        <v>64</v>
      </c>
      <c r="B21" s="10" t="s">
        <v>65</v>
      </c>
      <c r="C21" s="10" t="s">
        <v>66</v>
      </c>
      <c r="D21" s="10"/>
      <c r="E21" s="10">
        <v>10</v>
      </c>
      <c r="F21" s="10" t="s">
        <v>40</v>
      </c>
      <c r="G21" s="16" t="s">
        <v>65</v>
      </c>
      <c r="H21" s="6" t="s">
        <v>40</v>
      </c>
      <c r="I21" s="15" t="str">
        <f t="shared" si="0"/>
        <v>14-AUG</v>
      </c>
      <c r="J21" s="16">
        <f t="shared" si="3"/>
        <v>46248</v>
      </c>
      <c r="K21" s="6" t="str">
        <f t="shared" si="1"/>
        <v>US</v>
      </c>
      <c r="L21" t="str">
        <f t="shared" si="2"/>
        <v>Camping Tent Coleman</v>
      </c>
    </row>
    <row r="22" spans="1:12">
      <c r="A22" s="9" t="s">
        <v>67</v>
      </c>
      <c r="B22" s="9" t="s">
        <v>68</v>
      </c>
      <c r="C22" s="9" t="s">
        <v>69</v>
      </c>
      <c r="D22" s="9">
        <v>700</v>
      </c>
      <c r="E22" s="9">
        <v>50</v>
      </c>
      <c r="F22" s="9" t="s">
        <v>9</v>
      </c>
      <c r="G22" s="16" t="s">
        <v>68</v>
      </c>
      <c r="H22" s="6" t="s">
        <v>9</v>
      </c>
      <c r="I22" s="15" t="str">
        <f t="shared" si="0"/>
        <v>14-MAY</v>
      </c>
      <c r="J22" s="16">
        <f t="shared" si="3"/>
        <v>46156</v>
      </c>
      <c r="K22" s="6" t="str">
        <f t="shared" si="1"/>
        <v>RU</v>
      </c>
      <c r="L22" t="str">
        <f t="shared" si="2"/>
        <v>Camera Nikon</v>
      </c>
    </row>
    <row r="23" spans="1:12">
      <c r="A23" s="10" t="s">
        <v>70</v>
      </c>
      <c r="B23" s="10" t="s">
        <v>71</v>
      </c>
      <c r="C23" s="10" t="s">
        <v>72</v>
      </c>
      <c r="D23" s="10">
        <v>80</v>
      </c>
      <c r="E23" s="10">
        <v>20</v>
      </c>
      <c r="F23" s="10" t="s">
        <v>17</v>
      </c>
      <c r="G23" s="16" t="s">
        <v>71</v>
      </c>
      <c r="H23" s="6" t="s">
        <v>17</v>
      </c>
      <c r="I23" s="15" t="str">
        <f t="shared" si="0"/>
        <v>09-JAN</v>
      </c>
      <c r="J23" s="16">
        <f t="shared" si="3"/>
        <v>46031</v>
      </c>
      <c r="K23" s="6" t="str">
        <f t="shared" si="1"/>
        <v>CA</v>
      </c>
      <c r="L23" t="str">
        <f t="shared" si="2"/>
        <v>Microwave Panasonic</v>
      </c>
    </row>
    <row r="24" spans="1:12">
      <c r="A24" s="9" t="s">
        <v>73</v>
      </c>
      <c r="B24" s="9" t="s">
        <v>74</v>
      </c>
      <c r="C24" s="9" t="s">
        <v>75</v>
      </c>
      <c r="D24" s="9">
        <v>150</v>
      </c>
      <c r="E24" s="9">
        <v>30</v>
      </c>
      <c r="F24" s="9"/>
      <c r="G24" s="16" t="s">
        <v>74</v>
      </c>
      <c r="H24" s="6"/>
      <c r="I24" s="15" t="str">
        <f t="shared" si="0"/>
        <v>19-JUL</v>
      </c>
      <c r="J24" s="16">
        <f t="shared" si="3"/>
        <v>46222</v>
      </c>
      <c r="K24" s="6" t="str">
        <f t="shared" si="1"/>
        <v>BR</v>
      </c>
      <c r="L24" t="str">
        <f t="shared" si="2"/>
        <v>Fitness Tracker Xiaomi</v>
      </c>
    </row>
    <row r="25" spans="1:12">
      <c r="A25" s="10" t="s">
        <v>76</v>
      </c>
      <c r="B25" s="10" t="s">
        <v>77</v>
      </c>
      <c r="C25" s="10" t="s">
        <v>78</v>
      </c>
      <c r="D25" s="10">
        <v>800</v>
      </c>
      <c r="E25" s="10">
        <v>45</v>
      </c>
      <c r="F25" s="10" t="s">
        <v>9</v>
      </c>
      <c r="G25" s="16" t="s">
        <v>77</v>
      </c>
      <c r="H25" s="6" t="s">
        <v>9</v>
      </c>
      <c r="I25" s="15" t="str">
        <f t="shared" si="0"/>
        <v>29-SEP</v>
      </c>
      <c r="J25" s="16">
        <f t="shared" si="3"/>
        <v>46294</v>
      </c>
      <c r="K25" s="6" t="str">
        <f t="shared" si="1"/>
        <v>CA</v>
      </c>
      <c r="L25" t="str">
        <f t="shared" si="2"/>
        <v>Smartphone Google</v>
      </c>
    </row>
    <row r="26" spans="1:12">
      <c r="A26" s="9" t="s">
        <v>79</v>
      </c>
      <c r="B26" s="9" t="s">
        <v>62</v>
      </c>
      <c r="C26" s="9" t="s">
        <v>80</v>
      </c>
      <c r="D26" s="9"/>
      <c r="E26" s="9">
        <v>25</v>
      </c>
      <c r="F26" s="9" t="s">
        <v>13</v>
      </c>
      <c r="G26" s="16" t="s">
        <v>62</v>
      </c>
      <c r="H26" s="6" t="s">
        <v>13</v>
      </c>
      <c r="I26" s="15" t="str">
        <f t="shared" si="0"/>
        <v>03-JUN</v>
      </c>
      <c r="J26" s="16">
        <f t="shared" si="3"/>
        <v>46176</v>
      </c>
      <c r="K26" s="6" t="str">
        <f t="shared" si="1"/>
        <v>CA</v>
      </c>
      <c r="L26" t="str">
        <f t="shared" si="2"/>
        <v>Sunglasses Ray-Ban</v>
      </c>
    </row>
    <row r="27" spans="1:12">
      <c r="A27" s="10" t="s">
        <v>81</v>
      </c>
      <c r="B27" s="10" t="s">
        <v>32</v>
      </c>
      <c r="C27" s="10" t="s">
        <v>82</v>
      </c>
      <c r="D27" s="10">
        <v>400</v>
      </c>
      <c r="E27" s="10">
        <v>40</v>
      </c>
      <c r="F27" s="10" t="s">
        <v>17</v>
      </c>
      <c r="G27" s="16" t="s">
        <v>32</v>
      </c>
      <c r="H27" s="6" t="s">
        <v>17</v>
      </c>
      <c r="I27" s="15" t="str">
        <f t="shared" si="0"/>
        <v>11-JUL</v>
      </c>
      <c r="J27" s="16">
        <f t="shared" si="3"/>
        <v>46214</v>
      </c>
      <c r="K27" s="6" t="str">
        <f t="shared" si="1"/>
        <v>CA</v>
      </c>
      <c r="L27" t="str">
        <f t="shared" si="2"/>
        <v>Blender Vitamix</v>
      </c>
    </row>
    <row r="28" spans="1:12">
      <c r="A28" s="9" t="s">
        <v>83</v>
      </c>
      <c r="B28" s="9" t="s">
        <v>84</v>
      </c>
      <c r="C28" s="9" t="s">
        <v>85</v>
      </c>
      <c r="D28" s="9">
        <v>60</v>
      </c>
      <c r="E28" s="9">
        <v>30</v>
      </c>
      <c r="F28" s="9" t="s">
        <v>13</v>
      </c>
      <c r="G28" s="16" t="s">
        <v>84</v>
      </c>
      <c r="H28" s="6" t="s">
        <v>13</v>
      </c>
      <c r="I28" s="15" t="str">
        <f t="shared" si="0"/>
        <v>07-MAR</v>
      </c>
      <c r="J28" s="16">
        <f t="shared" si="3"/>
        <v>46088</v>
      </c>
      <c r="K28" s="6" t="str">
        <f t="shared" si="1"/>
        <v>CA</v>
      </c>
      <c r="L28" t="str">
        <f t="shared" si="2"/>
        <v>Dress Zara</v>
      </c>
    </row>
    <row r="29" spans="1:12">
      <c r="A29" s="10" t="s">
        <v>86</v>
      </c>
      <c r="B29" s="10" t="s">
        <v>87</v>
      </c>
      <c r="C29" s="10" t="s">
        <v>88</v>
      </c>
      <c r="D29" s="10">
        <v>40</v>
      </c>
      <c r="E29" s="10">
        <v>10</v>
      </c>
      <c r="F29" s="10" t="s">
        <v>17</v>
      </c>
      <c r="G29" s="16" t="s">
        <v>87</v>
      </c>
      <c r="H29" s="6" t="s">
        <v>17</v>
      </c>
      <c r="I29" s="15" t="str">
        <f t="shared" si="0"/>
        <v>13-APR</v>
      </c>
      <c r="J29" s="16">
        <f t="shared" si="3"/>
        <v>46125</v>
      </c>
      <c r="K29" s="6" t="str">
        <f t="shared" si="1"/>
        <v>CA</v>
      </c>
      <c r="L29" t="str">
        <f t="shared" si="2"/>
        <v>Toaster Hamilton</v>
      </c>
    </row>
    <row r="30" spans="1:12">
      <c r="A30" s="9" t="s">
        <v>89</v>
      </c>
      <c r="B30" s="9" t="s">
        <v>74</v>
      </c>
      <c r="C30" s="9" t="s">
        <v>90</v>
      </c>
      <c r="D30" s="9">
        <v>130</v>
      </c>
      <c r="E30" s="9">
        <v>5</v>
      </c>
      <c r="F30" s="9" t="s">
        <v>9</v>
      </c>
      <c r="G30" s="16" t="s">
        <v>74</v>
      </c>
      <c r="H30" s="6" t="s">
        <v>9</v>
      </c>
      <c r="I30" s="15" t="str">
        <f t="shared" si="0"/>
        <v>24-MAY</v>
      </c>
      <c r="J30" s="16">
        <f t="shared" si="3"/>
        <v>46166</v>
      </c>
      <c r="K30" s="6" t="str">
        <f t="shared" si="1"/>
        <v>CA</v>
      </c>
      <c r="L30" t="str">
        <f t="shared" si="2"/>
        <v>Fitness Tracker Garmin</v>
      </c>
    </row>
    <row r="31" spans="1:12">
      <c r="A31" s="10" t="s">
        <v>91</v>
      </c>
      <c r="B31" s="10" t="s">
        <v>92</v>
      </c>
      <c r="C31" s="10" t="s">
        <v>93</v>
      </c>
      <c r="D31" s="10">
        <v>50</v>
      </c>
      <c r="E31" s="10">
        <v>50</v>
      </c>
      <c r="F31" s="10" t="s">
        <v>13</v>
      </c>
      <c r="G31" s="16" t="s">
        <v>92</v>
      </c>
      <c r="H31" s="6" t="s">
        <v>13</v>
      </c>
      <c r="I31" s="15" t="str">
        <f t="shared" si="0"/>
        <v>02-DEC</v>
      </c>
      <c r="J31" s="16">
        <f t="shared" si="3"/>
        <v>46358</v>
      </c>
      <c r="K31" s="6" t="str">
        <f t="shared" si="1"/>
        <v>CA</v>
      </c>
      <c r="L31" t="str">
        <f t="shared" si="2"/>
        <v>Jeans Levi's</v>
      </c>
    </row>
    <row r="32" spans="1:12">
      <c r="A32" s="9" t="s">
        <v>94</v>
      </c>
      <c r="B32" s="9" t="s">
        <v>95</v>
      </c>
      <c r="C32" s="9" t="s">
        <v>96</v>
      </c>
      <c r="D32" s="9">
        <v>100</v>
      </c>
      <c r="E32" s="9">
        <v>20</v>
      </c>
      <c r="F32" s="9" t="s">
        <v>56</v>
      </c>
      <c r="G32" s="16" t="s">
        <v>95</v>
      </c>
      <c r="H32" s="6" t="s">
        <v>56</v>
      </c>
      <c r="I32" s="15" t="str">
        <f t="shared" si="0"/>
        <v>09-JUL</v>
      </c>
      <c r="J32" s="16">
        <f t="shared" si="3"/>
        <v>46212</v>
      </c>
      <c r="K32" s="6" t="str">
        <f t="shared" si="1"/>
        <v>FR</v>
      </c>
      <c r="L32" t="str">
        <f t="shared" si="2"/>
        <v>Watch Casio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0B90-D70B-44F2-BAB7-595C23B84F37}">
  <dimension ref="A1:K32"/>
  <sheetViews>
    <sheetView workbookViewId="0">
      <selection activeCell="K1" sqref="K1"/>
    </sheetView>
  </sheetViews>
  <sheetFormatPr defaultRowHeight="13.2"/>
  <cols>
    <col min="1" max="1" width="10.77734375" bestFit="1" customWidth="1"/>
    <col min="2" max="2" width="11.77734375" bestFit="1" customWidth="1"/>
    <col min="3" max="3" width="8.33203125" bestFit="1" customWidth="1"/>
    <col min="4" max="4" width="8.44140625" bestFit="1" customWidth="1"/>
    <col min="5" max="5" width="21.33203125" bestFit="1" customWidth="1"/>
    <col min="6" max="6" width="16.6640625" bestFit="1" customWidth="1"/>
    <col min="7" max="7" width="18.21875" bestFit="1" customWidth="1"/>
    <col min="8" max="8" width="13.33203125" bestFit="1" customWidth="1"/>
    <col min="9" max="9" width="21.44140625" bestFit="1" customWidth="1"/>
    <col min="10" max="10" width="13.109375" bestFit="1" customWidth="1"/>
    <col min="11" max="11" width="13.109375" style="19" bestFit="1" customWidth="1"/>
  </cols>
  <sheetData>
    <row r="1" spans="1:11">
      <c r="A1" s="1" t="s">
        <v>0</v>
      </c>
      <c r="B1" s="1" t="s">
        <v>2</v>
      </c>
      <c r="C1" s="1" t="s">
        <v>3</v>
      </c>
      <c r="D1" s="1" t="s">
        <v>4</v>
      </c>
      <c r="E1" s="13" t="s">
        <v>99</v>
      </c>
      <c r="F1" s="13" t="s">
        <v>100</v>
      </c>
      <c r="G1" s="12" t="s">
        <v>101</v>
      </c>
      <c r="H1" s="12" t="s">
        <v>102</v>
      </c>
      <c r="I1" s="12" t="s">
        <v>107</v>
      </c>
      <c r="J1" s="12" t="s">
        <v>103</v>
      </c>
      <c r="K1" s="17" t="s">
        <v>103</v>
      </c>
    </row>
    <row r="2" spans="1:11">
      <c r="A2" s="9" t="s">
        <v>6</v>
      </c>
      <c r="B2" s="9" t="s">
        <v>8</v>
      </c>
      <c r="C2" s="9">
        <v>1000</v>
      </c>
      <c r="D2" s="9">
        <v>30</v>
      </c>
      <c r="E2" s="16" t="s">
        <v>42</v>
      </c>
      <c r="F2" s="6" t="s">
        <v>9</v>
      </c>
      <c r="G2" s="16">
        <v>46050</v>
      </c>
      <c r="H2" s="6" t="s">
        <v>108</v>
      </c>
      <c r="I2" s="6" t="s">
        <v>109</v>
      </c>
      <c r="J2" s="6">
        <v>1000</v>
      </c>
      <c r="K2" s="18">
        <v>1000</v>
      </c>
    </row>
    <row r="3" spans="1:11">
      <c r="A3" s="10" t="s">
        <v>10</v>
      </c>
      <c r="B3" s="10" t="s">
        <v>12</v>
      </c>
      <c r="C3" s="10">
        <v>80</v>
      </c>
      <c r="D3" s="10">
        <v>15</v>
      </c>
      <c r="E3" s="16" t="s">
        <v>11</v>
      </c>
      <c r="F3" s="6" t="s">
        <v>13</v>
      </c>
      <c r="G3" s="16">
        <v>46068</v>
      </c>
      <c r="H3" s="6" t="s">
        <v>108</v>
      </c>
      <c r="I3" s="6" t="s">
        <v>110</v>
      </c>
      <c r="J3" s="6">
        <v>80</v>
      </c>
      <c r="K3" s="18">
        <v>80</v>
      </c>
    </row>
    <row r="4" spans="1:11">
      <c r="A4" s="9" t="s">
        <v>14</v>
      </c>
      <c r="B4" s="9" t="s">
        <v>16</v>
      </c>
      <c r="C4" s="9">
        <v>130</v>
      </c>
      <c r="D4" s="9">
        <v>40</v>
      </c>
      <c r="E4" s="16" t="s">
        <v>15</v>
      </c>
      <c r="F4" s="6" t="s">
        <v>17</v>
      </c>
      <c r="G4" s="16">
        <v>46084</v>
      </c>
      <c r="H4" s="6" t="s">
        <v>108</v>
      </c>
      <c r="I4" s="6" t="s">
        <v>111</v>
      </c>
      <c r="J4" s="6">
        <v>130</v>
      </c>
      <c r="K4" s="18">
        <v>130</v>
      </c>
    </row>
    <row r="5" spans="1:11">
      <c r="A5" s="10" t="s">
        <v>18</v>
      </c>
      <c r="B5" s="10" t="s">
        <v>20</v>
      </c>
      <c r="C5" s="10">
        <v>900</v>
      </c>
      <c r="D5" s="10">
        <v>25</v>
      </c>
      <c r="E5" s="16" t="s">
        <v>77</v>
      </c>
      <c r="F5" s="6" t="s">
        <v>9</v>
      </c>
      <c r="G5" s="16">
        <v>46123</v>
      </c>
      <c r="H5" s="6" t="s">
        <v>108</v>
      </c>
      <c r="I5" s="6" t="s">
        <v>112</v>
      </c>
      <c r="J5" s="6">
        <v>900</v>
      </c>
      <c r="K5" s="18">
        <v>900</v>
      </c>
    </row>
    <row r="6" spans="1:11">
      <c r="A6" s="9" t="s">
        <v>21</v>
      </c>
      <c r="B6" s="9" t="s">
        <v>23</v>
      </c>
      <c r="C6" s="9">
        <v>70</v>
      </c>
      <c r="D6" s="9">
        <v>20</v>
      </c>
      <c r="E6" s="16" t="s">
        <v>22</v>
      </c>
      <c r="F6" s="6"/>
      <c r="G6" s="16">
        <v>46164</v>
      </c>
      <c r="H6" s="6" t="s">
        <v>108</v>
      </c>
      <c r="I6" s="6" t="s">
        <v>113</v>
      </c>
      <c r="J6" s="6">
        <v>70</v>
      </c>
      <c r="K6" s="18">
        <v>70</v>
      </c>
    </row>
    <row r="7" spans="1:11">
      <c r="A7" s="10" t="s">
        <v>24</v>
      </c>
      <c r="B7" s="10" t="s">
        <v>26</v>
      </c>
      <c r="C7" s="10"/>
      <c r="D7" s="10">
        <v>45</v>
      </c>
      <c r="E7" s="16" t="s">
        <v>25</v>
      </c>
      <c r="F7" s="6" t="s">
        <v>9</v>
      </c>
      <c r="G7" s="16">
        <v>46180</v>
      </c>
      <c r="H7" s="6" t="s">
        <v>114</v>
      </c>
      <c r="I7" s="6" t="s">
        <v>115</v>
      </c>
      <c r="J7" s="6">
        <v>140</v>
      </c>
      <c r="K7" s="18">
        <v>140</v>
      </c>
    </row>
    <row r="8" spans="1:11">
      <c r="A8" s="9" t="s">
        <v>28</v>
      </c>
      <c r="B8" s="9" t="s">
        <v>30</v>
      </c>
      <c r="C8" s="9">
        <v>30</v>
      </c>
      <c r="D8" s="9">
        <v>5</v>
      </c>
      <c r="E8" s="16" t="s">
        <v>106</v>
      </c>
      <c r="F8" s="6" t="s">
        <v>13</v>
      </c>
      <c r="G8" s="16">
        <v>46222</v>
      </c>
      <c r="H8" s="6" t="s">
        <v>114</v>
      </c>
      <c r="I8" s="6" t="s">
        <v>116</v>
      </c>
      <c r="J8" s="6">
        <v>30</v>
      </c>
      <c r="K8" s="18">
        <v>30</v>
      </c>
    </row>
    <row r="9" spans="1:11">
      <c r="A9" s="10" t="s">
        <v>31</v>
      </c>
      <c r="B9" s="10" t="s">
        <v>33</v>
      </c>
      <c r="C9" s="10">
        <v>90</v>
      </c>
      <c r="D9" s="10">
        <v>35</v>
      </c>
      <c r="E9" s="16" t="s">
        <v>32</v>
      </c>
      <c r="F9" s="6" t="s">
        <v>17</v>
      </c>
      <c r="G9" s="16">
        <v>46257</v>
      </c>
      <c r="H9" s="6" t="s">
        <v>114</v>
      </c>
      <c r="I9" s="6" t="s">
        <v>117</v>
      </c>
      <c r="J9" s="6">
        <v>90</v>
      </c>
      <c r="K9" s="18">
        <v>90</v>
      </c>
    </row>
    <row r="10" spans="1:11">
      <c r="A10" s="9" t="s">
        <v>34</v>
      </c>
      <c r="B10" s="9" t="s">
        <v>36</v>
      </c>
      <c r="C10" s="9">
        <v>500</v>
      </c>
      <c r="D10" s="9">
        <v>50</v>
      </c>
      <c r="E10" s="16" t="s">
        <v>35</v>
      </c>
      <c r="F10" s="6" t="s">
        <v>9</v>
      </c>
      <c r="G10" s="16">
        <v>46270</v>
      </c>
      <c r="H10" s="6" t="s">
        <v>114</v>
      </c>
      <c r="I10" s="6" t="s">
        <v>118</v>
      </c>
      <c r="J10" s="6">
        <v>500</v>
      </c>
      <c r="K10" s="18">
        <v>500</v>
      </c>
    </row>
    <row r="11" spans="1:11">
      <c r="A11" s="10" t="s">
        <v>37</v>
      </c>
      <c r="B11" s="10" t="s">
        <v>39</v>
      </c>
      <c r="C11" s="10">
        <v>130</v>
      </c>
      <c r="D11" s="10">
        <v>10</v>
      </c>
      <c r="E11" s="16" t="s">
        <v>38</v>
      </c>
      <c r="F11" s="6" t="s">
        <v>40</v>
      </c>
      <c r="G11" s="16">
        <v>46309</v>
      </c>
      <c r="H11" s="6" t="s">
        <v>114</v>
      </c>
      <c r="I11" s="6" t="s">
        <v>119</v>
      </c>
      <c r="J11" s="6">
        <v>130</v>
      </c>
      <c r="K11" s="18">
        <v>130</v>
      </c>
    </row>
    <row r="12" spans="1:11">
      <c r="A12" s="9" t="s">
        <v>41</v>
      </c>
      <c r="B12" s="9" t="s">
        <v>43</v>
      </c>
      <c r="C12" s="9">
        <v>950</v>
      </c>
      <c r="D12" s="9">
        <v>25</v>
      </c>
      <c r="E12" s="16" t="s">
        <v>42</v>
      </c>
      <c r="F12" s="6" t="s">
        <v>9</v>
      </c>
      <c r="G12" s="16">
        <v>46190</v>
      </c>
      <c r="H12" s="6" t="s">
        <v>120</v>
      </c>
      <c r="I12" s="6" t="s">
        <v>121</v>
      </c>
      <c r="J12" s="6">
        <v>950</v>
      </c>
      <c r="K12" s="18">
        <v>950</v>
      </c>
    </row>
    <row r="13" spans="1:11">
      <c r="A13" s="10" t="s">
        <v>44</v>
      </c>
      <c r="B13" s="10" t="s">
        <v>30</v>
      </c>
      <c r="C13" s="10">
        <v>90</v>
      </c>
      <c r="D13" s="10">
        <v>40</v>
      </c>
      <c r="E13" s="16" t="s">
        <v>11</v>
      </c>
      <c r="F13" s="6"/>
      <c r="G13" s="16">
        <v>46351</v>
      </c>
      <c r="H13" s="6" t="s">
        <v>122</v>
      </c>
      <c r="I13" s="6" t="s">
        <v>123</v>
      </c>
      <c r="J13" s="6">
        <v>90</v>
      </c>
      <c r="K13" s="18">
        <v>90</v>
      </c>
    </row>
    <row r="14" spans="1:11">
      <c r="A14" s="9" t="s">
        <v>45</v>
      </c>
      <c r="B14" s="9" t="s">
        <v>46</v>
      </c>
      <c r="C14" s="9">
        <v>120</v>
      </c>
      <c r="D14" s="9">
        <v>35</v>
      </c>
      <c r="E14" s="16" t="s">
        <v>15</v>
      </c>
      <c r="F14" s="6"/>
      <c r="G14" s="16">
        <v>46364</v>
      </c>
      <c r="H14" s="6" t="s">
        <v>124</v>
      </c>
      <c r="I14" s="6" t="s">
        <v>125</v>
      </c>
      <c r="J14" s="6">
        <v>120</v>
      </c>
      <c r="K14" s="18">
        <v>120</v>
      </c>
    </row>
    <row r="15" spans="1:11">
      <c r="A15" s="10" t="s">
        <v>47</v>
      </c>
      <c r="B15" s="10" t="s">
        <v>49</v>
      </c>
      <c r="C15" s="10">
        <v>150</v>
      </c>
      <c r="D15" s="10">
        <v>15</v>
      </c>
      <c r="E15" s="16" t="s">
        <v>48</v>
      </c>
      <c r="F15" s="6" t="s">
        <v>9</v>
      </c>
      <c r="G15" s="16">
        <v>46071</v>
      </c>
      <c r="H15" s="6" t="s">
        <v>126</v>
      </c>
      <c r="I15" s="6" t="s">
        <v>127</v>
      </c>
      <c r="J15" s="6">
        <v>150</v>
      </c>
      <c r="K15" s="18">
        <v>150</v>
      </c>
    </row>
    <row r="16" spans="1:11">
      <c r="A16" s="9" t="s">
        <v>50</v>
      </c>
      <c r="B16" s="9" t="s">
        <v>52</v>
      </c>
      <c r="C16" s="9">
        <v>250</v>
      </c>
      <c r="D16" s="9">
        <v>20</v>
      </c>
      <c r="E16" s="16" t="s">
        <v>25</v>
      </c>
      <c r="F16" s="6" t="s">
        <v>9</v>
      </c>
      <c r="G16" s="16">
        <v>46128</v>
      </c>
      <c r="H16" s="6" t="s">
        <v>128</v>
      </c>
      <c r="I16" s="6" t="s">
        <v>129</v>
      </c>
      <c r="J16" s="6">
        <v>250</v>
      </c>
      <c r="K16" s="18">
        <v>250</v>
      </c>
    </row>
    <row r="17" spans="1:11">
      <c r="A17" s="10" t="s">
        <v>53</v>
      </c>
      <c r="B17" s="10" t="s">
        <v>55</v>
      </c>
      <c r="C17" s="10">
        <v>50</v>
      </c>
      <c r="D17" s="10">
        <v>35</v>
      </c>
      <c r="E17" s="16" t="s">
        <v>54</v>
      </c>
      <c r="F17" s="6" t="s">
        <v>56</v>
      </c>
      <c r="G17" s="16">
        <v>46255</v>
      </c>
      <c r="H17" s="6" t="s">
        <v>126</v>
      </c>
      <c r="I17" s="6" t="s">
        <v>130</v>
      </c>
      <c r="J17" s="6">
        <v>50</v>
      </c>
      <c r="K17" s="18">
        <v>50</v>
      </c>
    </row>
    <row r="18" spans="1:11">
      <c r="A18" s="9" t="s">
        <v>57</v>
      </c>
      <c r="B18" s="9" t="s">
        <v>58</v>
      </c>
      <c r="C18" s="9">
        <v>160</v>
      </c>
      <c r="D18" s="9">
        <v>15</v>
      </c>
      <c r="E18" s="16" t="s">
        <v>48</v>
      </c>
      <c r="F18" s="6" t="s">
        <v>9</v>
      </c>
      <c r="G18" s="16">
        <v>46254</v>
      </c>
      <c r="H18" s="6" t="s">
        <v>131</v>
      </c>
      <c r="I18" s="6" t="s">
        <v>132</v>
      </c>
      <c r="J18" s="6">
        <v>160</v>
      </c>
      <c r="K18" s="18">
        <v>160</v>
      </c>
    </row>
    <row r="19" spans="1:11">
      <c r="A19" s="10" t="s">
        <v>59</v>
      </c>
      <c r="B19" s="10" t="s">
        <v>60</v>
      </c>
      <c r="C19" s="10">
        <v>980</v>
      </c>
      <c r="D19" s="10">
        <v>10</v>
      </c>
      <c r="E19" s="16" t="s">
        <v>42</v>
      </c>
      <c r="F19" s="6" t="s">
        <v>9</v>
      </c>
      <c r="G19" s="16">
        <v>46049</v>
      </c>
      <c r="H19" s="6" t="s">
        <v>133</v>
      </c>
      <c r="I19" s="6" t="s">
        <v>134</v>
      </c>
      <c r="J19" s="6">
        <v>980</v>
      </c>
      <c r="K19" s="18">
        <v>980</v>
      </c>
    </row>
    <row r="20" spans="1:11">
      <c r="A20" s="9" t="s">
        <v>61</v>
      </c>
      <c r="B20" s="9" t="s">
        <v>63</v>
      </c>
      <c r="C20" s="9">
        <v>150</v>
      </c>
      <c r="D20" s="9">
        <v>15</v>
      </c>
      <c r="E20" s="16" t="s">
        <v>62</v>
      </c>
      <c r="F20" s="6" t="s">
        <v>13</v>
      </c>
      <c r="G20" s="16">
        <v>46082</v>
      </c>
      <c r="H20" s="6" t="s">
        <v>114</v>
      </c>
      <c r="I20" s="6" t="s">
        <v>135</v>
      </c>
      <c r="J20" s="6">
        <v>150</v>
      </c>
      <c r="K20" s="18">
        <v>150</v>
      </c>
    </row>
    <row r="21" spans="1:11">
      <c r="A21" s="10" t="s">
        <v>64</v>
      </c>
      <c r="B21" s="10" t="s">
        <v>66</v>
      </c>
      <c r="C21" s="10"/>
      <c r="D21" s="10">
        <v>10</v>
      </c>
      <c r="E21" s="16" t="s">
        <v>65</v>
      </c>
      <c r="F21" s="6" t="s">
        <v>40</v>
      </c>
      <c r="G21" s="16">
        <v>46248</v>
      </c>
      <c r="H21" s="6" t="s">
        <v>108</v>
      </c>
      <c r="I21" s="6" t="s">
        <v>136</v>
      </c>
      <c r="J21" s="6">
        <v>130</v>
      </c>
      <c r="K21" s="18">
        <v>130</v>
      </c>
    </row>
    <row r="22" spans="1:11">
      <c r="A22" s="9" t="s">
        <v>67</v>
      </c>
      <c r="B22" s="9" t="s">
        <v>69</v>
      </c>
      <c r="C22" s="9">
        <v>700</v>
      </c>
      <c r="D22" s="9">
        <v>50</v>
      </c>
      <c r="E22" s="16" t="s">
        <v>68</v>
      </c>
      <c r="F22" s="6" t="s">
        <v>9</v>
      </c>
      <c r="G22" s="16">
        <v>46156</v>
      </c>
      <c r="H22" s="6" t="s">
        <v>137</v>
      </c>
      <c r="I22" s="6" t="s">
        <v>138</v>
      </c>
      <c r="J22" s="6">
        <v>700</v>
      </c>
      <c r="K22" s="18">
        <v>700</v>
      </c>
    </row>
    <row r="23" spans="1:11">
      <c r="A23" s="10" t="s">
        <v>70</v>
      </c>
      <c r="B23" s="10" t="s">
        <v>72</v>
      </c>
      <c r="C23" s="10">
        <v>80</v>
      </c>
      <c r="D23" s="10">
        <v>20</v>
      </c>
      <c r="E23" s="16" t="s">
        <v>71</v>
      </c>
      <c r="F23" s="6" t="s">
        <v>17</v>
      </c>
      <c r="G23" s="16">
        <v>46031</v>
      </c>
      <c r="H23" s="6" t="s">
        <v>126</v>
      </c>
      <c r="I23" s="6" t="s">
        <v>139</v>
      </c>
      <c r="J23" s="6">
        <v>80</v>
      </c>
      <c r="K23" s="18">
        <v>80</v>
      </c>
    </row>
    <row r="24" spans="1:11">
      <c r="A24" s="9" t="s">
        <v>73</v>
      </c>
      <c r="B24" s="9" t="s">
        <v>75</v>
      </c>
      <c r="C24" s="9">
        <v>150</v>
      </c>
      <c r="D24" s="9">
        <v>30</v>
      </c>
      <c r="E24" s="16" t="s">
        <v>74</v>
      </c>
      <c r="F24" s="6"/>
      <c r="G24" s="16">
        <v>46222</v>
      </c>
      <c r="H24" s="6" t="s">
        <v>140</v>
      </c>
      <c r="I24" s="6" t="s">
        <v>141</v>
      </c>
      <c r="J24" s="6">
        <v>150</v>
      </c>
      <c r="K24" s="18">
        <v>150</v>
      </c>
    </row>
    <row r="25" spans="1:11">
      <c r="A25" s="10" t="s">
        <v>76</v>
      </c>
      <c r="B25" s="10" t="s">
        <v>78</v>
      </c>
      <c r="C25" s="10">
        <v>800</v>
      </c>
      <c r="D25" s="10">
        <v>45</v>
      </c>
      <c r="E25" s="16" t="s">
        <v>77</v>
      </c>
      <c r="F25" s="6" t="s">
        <v>9</v>
      </c>
      <c r="G25" s="16">
        <v>46294</v>
      </c>
      <c r="H25" s="6" t="s">
        <v>126</v>
      </c>
      <c r="I25" s="6" t="s">
        <v>142</v>
      </c>
      <c r="J25" s="6">
        <v>800</v>
      </c>
      <c r="K25" s="18">
        <v>800</v>
      </c>
    </row>
    <row r="26" spans="1:11">
      <c r="A26" s="9" t="s">
        <v>79</v>
      </c>
      <c r="B26" s="9" t="s">
        <v>80</v>
      </c>
      <c r="C26" s="9"/>
      <c r="D26" s="9">
        <v>25</v>
      </c>
      <c r="E26" s="16" t="s">
        <v>62</v>
      </c>
      <c r="F26" s="6" t="s">
        <v>13</v>
      </c>
      <c r="G26" s="16">
        <v>46176</v>
      </c>
      <c r="H26" s="6" t="s">
        <v>126</v>
      </c>
      <c r="I26" s="6" t="s">
        <v>143</v>
      </c>
      <c r="J26" s="6">
        <v>115</v>
      </c>
      <c r="K26" s="18">
        <v>115</v>
      </c>
    </row>
    <row r="27" spans="1:11">
      <c r="A27" s="10" t="s">
        <v>81</v>
      </c>
      <c r="B27" s="10" t="s">
        <v>82</v>
      </c>
      <c r="C27" s="10">
        <v>400</v>
      </c>
      <c r="D27" s="10">
        <v>40</v>
      </c>
      <c r="E27" s="16" t="s">
        <v>32</v>
      </c>
      <c r="F27" s="6" t="s">
        <v>17</v>
      </c>
      <c r="G27" s="16">
        <v>46214</v>
      </c>
      <c r="H27" s="6" t="s">
        <v>126</v>
      </c>
      <c r="I27" s="6" t="s">
        <v>144</v>
      </c>
      <c r="J27" s="6">
        <v>400</v>
      </c>
      <c r="K27" s="18">
        <v>400</v>
      </c>
    </row>
    <row r="28" spans="1:11">
      <c r="A28" s="9" t="s">
        <v>83</v>
      </c>
      <c r="B28" s="9" t="s">
        <v>85</v>
      </c>
      <c r="C28" s="9">
        <v>60</v>
      </c>
      <c r="D28" s="9">
        <v>30</v>
      </c>
      <c r="E28" s="16" t="s">
        <v>84</v>
      </c>
      <c r="F28" s="6" t="s">
        <v>13</v>
      </c>
      <c r="G28" s="16">
        <v>46088</v>
      </c>
      <c r="H28" s="6" t="s">
        <v>126</v>
      </c>
      <c r="I28" s="6" t="s">
        <v>145</v>
      </c>
      <c r="J28" s="6">
        <v>60</v>
      </c>
      <c r="K28" s="18">
        <v>60</v>
      </c>
    </row>
    <row r="29" spans="1:11">
      <c r="A29" s="10" t="s">
        <v>86</v>
      </c>
      <c r="B29" s="10" t="s">
        <v>88</v>
      </c>
      <c r="C29" s="10">
        <v>40</v>
      </c>
      <c r="D29" s="10">
        <v>10</v>
      </c>
      <c r="E29" s="16" t="s">
        <v>87</v>
      </c>
      <c r="F29" s="6" t="s">
        <v>17</v>
      </c>
      <c r="G29" s="16">
        <v>46125</v>
      </c>
      <c r="H29" s="6" t="s">
        <v>126</v>
      </c>
      <c r="I29" s="6" t="s">
        <v>146</v>
      </c>
      <c r="J29" s="6">
        <v>40</v>
      </c>
      <c r="K29" s="18">
        <v>40</v>
      </c>
    </row>
    <row r="30" spans="1:11">
      <c r="A30" s="9" t="s">
        <v>89</v>
      </c>
      <c r="B30" s="9" t="s">
        <v>90</v>
      </c>
      <c r="C30" s="9">
        <v>130</v>
      </c>
      <c r="D30" s="9">
        <v>5</v>
      </c>
      <c r="E30" s="16" t="s">
        <v>74</v>
      </c>
      <c r="F30" s="6" t="s">
        <v>9</v>
      </c>
      <c r="G30" s="16">
        <v>46166</v>
      </c>
      <c r="H30" s="6" t="s">
        <v>126</v>
      </c>
      <c r="I30" s="6" t="s">
        <v>147</v>
      </c>
      <c r="J30" s="6">
        <v>130</v>
      </c>
      <c r="K30" s="18">
        <v>130</v>
      </c>
    </row>
    <row r="31" spans="1:11">
      <c r="A31" s="10" t="s">
        <v>91</v>
      </c>
      <c r="B31" s="10" t="s">
        <v>93</v>
      </c>
      <c r="C31" s="10">
        <v>50</v>
      </c>
      <c r="D31" s="10">
        <v>50</v>
      </c>
      <c r="E31" s="16" t="s">
        <v>92</v>
      </c>
      <c r="F31" s="6" t="s">
        <v>13</v>
      </c>
      <c r="G31" s="16">
        <v>46358</v>
      </c>
      <c r="H31" s="6" t="s">
        <v>126</v>
      </c>
      <c r="I31" s="6" t="s">
        <v>148</v>
      </c>
      <c r="J31" s="6">
        <v>50</v>
      </c>
      <c r="K31" s="18">
        <v>50</v>
      </c>
    </row>
    <row r="32" spans="1:11">
      <c r="A32" s="9" t="s">
        <v>94</v>
      </c>
      <c r="B32" s="9" t="s">
        <v>96</v>
      </c>
      <c r="C32" s="9">
        <v>100</v>
      </c>
      <c r="D32" s="9">
        <v>20</v>
      </c>
      <c r="E32" s="16" t="s">
        <v>95</v>
      </c>
      <c r="F32" s="6" t="s">
        <v>56</v>
      </c>
      <c r="G32" s="16">
        <v>46212</v>
      </c>
      <c r="H32" s="6" t="s">
        <v>149</v>
      </c>
      <c r="I32" s="6" t="s">
        <v>150</v>
      </c>
      <c r="J32" s="6">
        <v>100</v>
      </c>
      <c r="K32" s="18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AD8A-D33C-4270-8894-0185F138EAF3}">
  <dimension ref="A1:I32"/>
  <sheetViews>
    <sheetView tabSelected="1" workbookViewId="0">
      <selection activeCell="J13" sqref="J13"/>
    </sheetView>
  </sheetViews>
  <sheetFormatPr defaultRowHeight="13.2"/>
  <cols>
    <col min="1" max="1" width="10.77734375" bestFit="1" customWidth="1"/>
    <col min="2" max="2" width="11.77734375" bestFit="1" customWidth="1"/>
    <col min="3" max="3" width="8.44140625" bestFit="1" customWidth="1"/>
    <col min="4" max="4" width="21.33203125" bestFit="1" customWidth="1"/>
    <col min="5" max="5" width="16.6640625" bestFit="1" customWidth="1"/>
    <col min="6" max="6" width="18.21875" bestFit="1" customWidth="1"/>
    <col min="7" max="7" width="13.33203125" bestFit="1" customWidth="1"/>
    <col min="8" max="8" width="21.44140625" bestFit="1" customWidth="1"/>
    <col min="9" max="9" width="13.109375" style="19" bestFit="1" customWidth="1"/>
  </cols>
  <sheetData>
    <row r="1" spans="1:9">
      <c r="A1" s="1" t="s">
        <v>0</v>
      </c>
      <c r="B1" s="1" t="s">
        <v>2</v>
      </c>
      <c r="C1" s="1" t="s">
        <v>4</v>
      </c>
      <c r="D1" s="13" t="s">
        <v>99</v>
      </c>
      <c r="E1" s="13" t="s">
        <v>100</v>
      </c>
      <c r="F1" s="12" t="s">
        <v>101</v>
      </c>
      <c r="G1" s="12" t="s">
        <v>102</v>
      </c>
      <c r="H1" s="12" t="s">
        <v>107</v>
      </c>
      <c r="I1" s="17" t="s">
        <v>103</v>
      </c>
    </row>
    <row r="2" spans="1:9">
      <c r="A2" s="9" t="s">
        <v>6</v>
      </c>
      <c r="B2" s="9" t="s">
        <v>8</v>
      </c>
      <c r="C2" s="9">
        <v>30</v>
      </c>
      <c r="D2" s="16" t="s">
        <v>42</v>
      </c>
      <c r="E2" s="6" t="s">
        <v>9</v>
      </c>
      <c r="F2" s="16">
        <v>46050</v>
      </c>
      <c r="G2" s="6" t="s">
        <v>108</v>
      </c>
      <c r="H2" s="6" t="s">
        <v>109</v>
      </c>
      <c r="I2" s="18">
        <v>1000</v>
      </c>
    </row>
    <row r="3" spans="1:9">
      <c r="A3" s="10" t="s">
        <v>10</v>
      </c>
      <c r="B3" s="10" t="s">
        <v>12</v>
      </c>
      <c r="C3" s="10">
        <v>15</v>
      </c>
      <c r="D3" s="16" t="s">
        <v>11</v>
      </c>
      <c r="E3" s="6" t="s">
        <v>13</v>
      </c>
      <c r="F3" s="16">
        <v>46068</v>
      </c>
      <c r="G3" s="6" t="s">
        <v>108</v>
      </c>
      <c r="H3" s="6" t="s">
        <v>110</v>
      </c>
      <c r="I3" s="18">
        <v>80</v>
      </c>
    </row>
    <row r="4" spans="1:9">
      <c r="A4" s="9" t="s">
        <v>14</v>
      </c>
      <c r="B4" s="9" t="s">
        <v>16</v>
      </c>
      <c r="C4" s="9">
        <v>40</v>
      </c>
      <c r="D4" s="16" t="s">
        <v>15</v>
      </c>
      <c r="E4" s="6" t="s">
        <v>17</v>
      </c>
      <c r="F4" s="16">
        <v>46084</v>
      </c>
      <c r="G4" s="6" t="s">
        <v>108</v>
      </c>
      <c r="H4" s="6" t="s">
        <v>111</v>
      </c>
      <c r="I4" s="18">
        <v>130</v>
      </c>
    </row>
    <row r="5" spans="1:9">
      <c r="A5" s="10" t="s">
        <v>18</v>
      </c>
      <c r="B5" s="10" t="s">
        <v>20</v>
      </c>
      <c r="C5" s="10">
        <v>25</v>
      </c>
      <c r="D5" s="16" t="s">
        <v>77</v>
      </c>
      <c r="E5" s="6" t="s">
        <v>9</v>
      </c>
      <c r="F5" s="16">
        <v>46123</v>
      </c>
      <c r="G5" s="6" t="s">
        <v>108</v>
      </c>
      <c r="H5" s="6" t="s">
        <v>112</v>
      </c>
      <c r="I5" s="18">
        <v>900</v>
      </c>
    </row>
    <row r="6" spans="1:9">
      <c r="A6" s="9" t="s">
        <v>21</v>
      </c>
      <c r="B6" s="9" t="s">
        <v>23</v>
      </c>
      <c r="C6" s="9">
        <v>20</v>
      </c>
      <c r="D6" s="16" t="s">
        <v>22</v>
      </c>
      <c r="E6" s="6"/>
      <c r="F6" s="16">
        <v>46164</v>
      </c>
      <c r="G6" s="6" t="s">
        <v>108</v>
      </c>
      <c r="H6" s="6" t="s">
        <v>113</v>
      </c>
      <c r="I6" s="18">
        <v>70</v>
      </c>
    </row>
    <row r="7" spans="1:9">
      <c r="A7" s="10" t="s">
        <v>24</v>
      </c>
      <c r="B7" s="10" t="s">
        <v>26</v>
      </c>
      <c r="C7" s="10">
        <v>45</v>
      </c>
      <c r="D7" s="16" t="s">
        <v>25</v>
      </c>
      <c r="E7" s="6" t="s">
        <v>9</v>
      </c>
      <c r="F7" s="16">
        <v>46180</v>
      </c>
      <c r="G7" s="6" t="s">
        <v>114</v>
      </c>
      <c r="H7" s="6" t="s">
        <v>115</v>
      </c>
      <c r="I7" s="18">
        <v>140</v>
      </c>
    </row>
    <row r="8" spans="1:9">
      <c r="A8" s="9" t="s">
        <v>28</v>
      </c>
      <c r="B8" s="9" t="s">
        <v>30</v>
      </c>
      <c r="C8" s="9">
        <v>5</v>
      </c>
      <c r="D8" s="16" t="s">
        <v>106</v>
      </c>
      <c r="E8" s="6" t="s">
        <v>13</v>
      </c>
      <c r="F8" s="16">
        <v>46222</v>
      </c>
      <c r="G8" s="6" t="s">
        <v>114</v>
      </c>
      <c r="H8" s="6" t="s">
        <v>116</v>
      </c>
      <c r="I8" s="18">
        <v>30</v>
      </c>
    </row>
    <row r="9" spans="1:9">
      <c r="A9" s="10" t="s">
        <v>31</v>
      </c>
      <c r="B9" s="10" t="s">
        <v>33</v>
      </c>
      <c r="C9" s="10">
        <v>35</v>
      </c>
      <c r="D9" s="16" t="s">
        <v>32</v>
      </c>
      <c r="E9" s="6" t="s">
        <v>17</v>
      </c>
      <c r="F9" s="16">
        <v>46257</v>
      </c>
      <c r="G9" s="6" t="s">
        <v>114</v>
      </c>
      <c r="H9" s="6" t="s">
        <v>117</v>
      </c>
      <c r="I9" s="18">
        <v>90</v>
      </c>
    </row>
    <row r="10" spans="1:9">
      <c r="A10" s="9" t="s">
        <v>34</v>
      </c>
      <c r="B10" s="9" t="s">
        <v>36</v>
      </c>
      <c r="C10" s="9">
        <v>50</v>
      </c>
      <c r="D10" s="16" t="s">
        <v>35</v>
      </c>
      <c r="E10" s="6" t="s">
        <v>9</v>
      </c>
      <c r="F10" s="16">
        <v>46270</v>
      </c>
      <c r="G10" s="6" t="s">
        <v>114</v>
      </c>
      <c r="H10" s="6" t="s">
        <v>118</v>
      </c>
      <c r="I10" s="18">
        <v>500</v>
      </c>
    </row>
    <row r="11" spans="1:9">
      <c r="A11" s="10" t="s">
        <v>37</v>
      </c>
      <c r="B11" s="10" t="s">
        <v>39</v>
      </c>
      <c r="C11" s="10">
        <v>10</v>
      </c>
      <c r="D11" s="16" t="s">
        <v>38</v>
      </c>
      <c r="E11" s="6" t="s">
        <v>40</v>
      </c>
      <c r="F11" s="16">
        <v>46309</v>
      </c>
      <c r="G11" s="6" t="s">
        <v>114</v>
      </c>
      <c r="H11" s="6" t="s">
        <v>119</v>
      </c>
      <c r="I11" s="18">
        <v>130</v>
      </c>
    </row>
    <row r="12" spans="1:9">
      <c r="A12" s="9" t="s">
        <v>41</v>
      </c>
      <c r="B12" s="9" t="s">
        <v>43</v>
      </c>
      <c r="C12" s="9">
        <v>25</v>
      </c>
      <c r="D12" s="16" t="s">
        <v>42</v>
      </c>
      <c r="E12" s="6" t="s">
        <v>9</v>
      </c>
      <c r="F12" s="16">
        <v>46190</v>
      </c>
      <c r="G12" s="6" t="s">
        <v>120</v>
      </c>
      <c r="H12" s="6" t="s">
        <v>121</v>
      </c>
      <c r="I12" s="18">
        <v>950</v>
      </c>
    </row>
    <row r="13" spans="1:9">
      <c r="A13" s="10" t="s">
        <v>44</v>
      </c>
      <c r="B13" s="10" t="s">
        <v>30</v>
      </c>
      <c r="C13" s="10">
        <v>40</v>
      </c>
      <c r="D13" s="16" t="s">
        <v>11</v>
      </c>
      <c r="E13" s="6"/>
      <c r="F13" s="16">
        <v>46351</v>
      </c>
      <c r="G13" s="6" t="s">
        <v>122</v>
      </c>
      <c r="H13" s="6" t="s">
        <v>123</v>
      </c>
      <c r="I13" s="18">
        <v>90</v>
      </c>
    </row>
    <row r="14" spans="1:9">
      <c r="A14" s="9" t="s">
        <v>45</v>
      </c>
      <c r="B14" s="9" t="s">
        <v>46</v>
      </c>
      <c r="C14" s="9">
        <v>35</v>
      </c>
      <c r="D14" s="16" t="s">
        <v>15</v>
      </c>
      <c r="E14" s="6"/>
      <c r="F14" s="16">
        <v>46364</v>
      </c>
      <c r="G14" s="6" t="s">
        <v>124</v>
      </c>
      <c r="H14" s="6" t="s">
        <v>125</v>
      </c>
      <c r="I14" s="18">
        <v>120</v>
      </c>
    </row>
    <row r="15" spans="1:9">
      <c r="A15" s="10" t="s">
        <v>47</v>
      </c>
      <c r="B15" s="10" t="s">
        <v>49</v>
      </c>
      <c r="C15" s="10">
        <v>15</v>
      </c>
      <c r="D15" s="16" t="s">
        <v>48</v>
      </c>
      <c r="E15" s="6" t="s">
        <v>9</v>
      </c>
      <c r="F15" s="16">
        <v>46071</v>
      </c>
      <c r="G15" s="6" t="s">
        <v>126</v>
      </c>
      <c r="H15" s="6" t="s">
        <v>127</v>
      </c>
      <c r="I15" s="18">
        <v>150</v>
      </c>
    </row>
    <row r="16" spans="1:9">
      <c r="A16" s="9" t="s">
        <v>50</v>
      </c>
      <c r="B16" s="9" t="s">
        <v>52</v>
      </c>
      <c r="C16" s="9">
        <v>20</v>
      </c>
      <c r="D16" s="16" t="s">
        <v>25</v>
      </c>
      <c r="E16" s="6" t="s">
        <v>9</v>
      </c>
      <c r="F16" s="16">
        <v>46128</v>
      </c>
      <c r="G16" s="6" t="s">
        <v>128</v>
      </c>
      <c r="H16" s="6" t="s">
        <v>129</v>
      </c>
      <c r="I16" s="18">
        <v>250</v>
      </c>
    </row>
    <row r="17" spans="1:9">
      <c r="A17" s="10" t="s">
        <v>53</v>
      </c>
      <c r="B17" s="10" t="s">
        <v>55</v>
      </c>
      <c r="C17" s="10">
        <v>35</v>
      </c>
      <c r="D17" s="16" t="s">
        <v>54</v>
      </c>
      <c r="E17" s="6" t="s">
        <v>56</v>
      </c>
      <c r="F17" s="16">
        <v>46255</v>
      </c>
      <c r="G17" s="6" t="s">
        <v>126</v>
      </c>
      <c r="H17" s="6" t="s">
        <v>130</v>
      </c>
      <c r="I17" s="18">
        <v>50</v>
      </c>
    </row>
    <row r="18" spans="1:9">
      <c r="A18" s="9" t="s">
        <v>57</v>
      </c>
      <c r="B18" s="9" t="s">
        <v>58</v>
      </c>
      <c r="C18" s="9">
        <v>15</v>
      </c>
      <c r="D18" s="16" t="s">
        <v>48</v>
      </c>
      <c r="E18" s="6" t="s">
        <v>9</v>
      </c>
      <c r="F18" s="16">
        <v>46254</v>
      </c>
      <c r="G18" s="6" t="s">
        <v>131</v>
      </c>
      <c r="H18" s="6" t="s">
        <v>132</v>
      </c>
      <c r="I18" s="18">
        <v>160</v>
      </c>
    </row>
    <row r="19" spans="1:9">
      <c r="A19" s="10" t="s">
        <v>59</v>
      </c>
      <c r="B19" s="10" t="s">
        <v>60</v>
      </c>
      <c r="C19" s="10">
        <v>10</v>
      </c>
      <c r="D19" s="16" t="s">
        <v>42</v>
      </c>
      <c r="E19" s="6" t="s">
        <v>9</v>
      </c>
      <c r="F19" s="16">
        <v>46049</v>
      </c>
      <c r="G19" s="6" t="s">
        <v>133</v>
      </c>
      <c r="H19" s="6" t="s">
        <v>134</v>
      </c>
      <c r="I19" s="18">
        <v>980</v>
      </c>
    </row>
    <row r="20" spans="1:9">
      <c r="A20" s="9" t="s">
        <v>61</v>
      </c>
      <c r="B20" s="9" t="s">
        <v>63</v>
      </c>
      <c r="C20" s="9">
        <v>15</v>
      </c>
      <c r="D20" s="16" t="s">
        <v>62</v>
      </c>
      <c r="E20" s="6" t="s">
        <v>13</v>
      </c>
      <c r="F20" s="16">
        <v>46082</v>
      </c>
      <c r="G20" s="6" t="s">
        <v>114</v>
      </c>
      <c r="H20" s="6" t="s">
        <v>135</v>
      </c>
      <c r="I20" s="18">
        <v>150</v>
      </c>
    </row>
    <row r="21" spans="1:9">
      <c r="A21" s="10" t="s">
        <v>64</v>
      </c>
      <c r="B21" s="10" t="s">
        <v>66</v>
      </c>
      <c r="C21" s="10">
        <v>10</v>
      </c>
      <c r="D21" s="16" t="s">
        <v>65</v>
      </c>
      <c r="E21" s="6" t="s">
        <v>40</v>
      </c>
      <c r="F21" s="16">
        <v>46248</v>
      </c>
      <c r="G21" s="6" t="s">
        <v>108</v>
      </c>
      <c r="H21" s="6" t="s">
        <v>136</v>
      </c>
      <c r="I21" s="18">
        <v>130</v>
      </c>
    </row>
    <row r="22" spans="1:9">
      <c r="A22" s="9" t="s">
        <v>67</v>
      </c>
      <c r="B22" s="9" t="s">
        <v>69</v>
      </c>
      <c r="C22" s="9">
        <v>50</v>
      </c>
      <c r="D22" s="16" t="s">
        <v>68</v>
      </c>
      <c r="E22" s="6" t="s">
        <v>9</v>
      </c>
      <c r="F22" s="16">
        <v>46156</v>
      </c>
      <c r="G22" s="6" t="s">
        <v>137</v>
      </c>
      <c r="H22" s="6" t="s">
        <v>138</v>
      </c>
      <c r="I22" s="18">
        <v>700</v>
      </c>
    </row>
    <row r="23" spans="1:9">
      <c r="A23" s="10" t="s">
        <v>70</v>
      </c>
      <c r="B23" s="10" t="s">
        <v>72</v>
      </c>
      <c r="C23" s="10">
        <v>20</v>
      </c>
      <c r="D23" s="16" t="s">
        <v>71</v>
      </c>
      <c r="E23" s="6" t="s">
        <v>17</v>
      </c>
      <c r="F23" s="16">
        <v>46031</v>
      </c>
      <c r="G23" s="6" t="s">
        <v>126</v>
      </c>
      <c r="H23" s="6" t="s">
        <v>139</v>
      </c>
      <c r="I23" s="18">
        <v>80</v>
      </c>
    </row>
    <row r="24" spans="1:9">
      <c r="A24" s="9" t="s">
        <v>73</v>
      </c>
      <c r="B24" s="9" t="s">
        <v>75</v>
      </c>
      <c r="C24" s="9">
        <v>30</v>
      </c>
      <c r="D24" s="16" t="s">
        <v>74</v>
      </c>
      <c r="E24" s="6"/>
      <c r="F24" s="16">
        <v>46222</v>
      </c>
      <c r="G24" s="6" t="s">
        <v>140</v>
      </c>
      <c r="H24" s="6" t="s">
        <v>141</v>
      </c>
      <c r="I24" s="18">
        <v>150</v>
      </c>
    </row>
    <row r="25" spans="1:9">
      <c r="A25" s="10" t="s">
        <v>76</v>
      </c>
      <c r="B25" s="10" t="s">
        <v>78</v>
      </c>
      <c r="C25" s="10">
        <v>45</v>
      </c>
      <c r="D25" s="16" t="s">
        <v>77</v>
      </c>
      <c r="E25" s="6" t="s">
        <v>9</v>
      </c>
      <c r="F25" s="16">
        <v>46294</v>
      </c>
      <c r="G25" s="6" t="s">
        <v>126</v>
      </c>
      <c r="H25" s="6" t="s">
        <v>142</v>
      </c>
      <c r="I25" s="18">
        <v>800</v>
      </c>
    </row>
    <row r="26" spans="1:9">
      <c r="A26" s="9" t="s">
        <v>79</v>
      </c>
      <c r="B26" s="9" t="s">
        <v>80</v>
      </c>
      <c r="C26" s="9">
        <v>25</v>
      </c>
      <c r="D26" s="16" t="s">
        <v>62</v>
      </c>
      <c r="E26" s="6" t="s">
        <v>13</v>
      </c>
      <c r="F26" s="16">
        <v>46176</v>
      </c>
      <c r="G26" s="6" t="s">
        <v>126</v>
      </c>
      <c r="H26" s="6" t="s">
        <v>143</v>
      </c>
      <c r="I26" s="18">
        <v>115</v>
      </c>
    </row>
    <row r="27" spans="1:9">
      <c r="A27" s="10" t="s">
        <v>81</v>
      </c>
      <c r="B27" s="10" t="s">
        <v>82</v>
      </c>
      <c r="C27" s="10">
        <v>40</v>
      </c>
      <c r="D27" s="16" t="s">
        <v>32</v>
      </c>
      <c r="E27" s="6" t="s">
        <v>17</v>
      </c>
      <c r="F27" s="16">
        <v>46214</v>
      </c>
      <c r="G27" s="6" t="s">
        <v>126</v>
      </c>
      <c r="H27" s="6" t="s">
        <v>144</v>
      </c>
      <c r="I27" s="18">
        <v>400</v>
      </c>
    </row>
    <row r="28" spans="1:9">
      <c r="A28" s="9" t="s">
        <v>83</v>
      </c>
      <c r="B28" s="9" t="s">
        <v>85</v>
      </c>
      <c r="C28" s="9">
        <v>30</v>
      </c>
      <c r="D28" s="16" t="s">
        <v>84</v>
      </c>
      <c r="E28" s="6" t="s">
        <v>13</v>
      </c>
      <c r="F28" s="16">
        <v>46088</v>
      </c>
      <c r="G28" s="6" t="s">
        <v>126</v>
      </c>
      <c r="H28" s="6" t="s">
        <v>145</v>
      </c>
      <c r="I28" s="18">
        <v>60</v>
      </c>
    </row>
    <row r="29" spans="1:9">
      <c r="A29" s="10" t="s">
        <v>86</v>
      </c>
      <c r="B29" s="10" t="s">
        <v>88</v>
      </c>
      <c r="C29" s="10">
        <v>10</v>
      </c>
      <c r="D29" s="16" t="s">
        <v>87</v>
      </c>
      <c r="E29" s="6" t="s">
        <v>17</v>
      </c>
      <c r="F29" s="16">
        <v>46125</v>
      </c>
      <c r="G29" s="6" t="s">
        <v>126</v>
      </c>
      <c r="H29" s="6" t="s">
        <v>146</v>
      </c>
      <c r="I29" s="18">
        <v>40</v>
      </c>
    </row>
    <row r="30" spans="1:9">
      <c r="A30" s="9" t="s">
        <v>89</v>
      </c>
      <c r="B30" s="9" t="s">
        <v>90</v>
      </c>
      <c r="C30" s="9">
        <v>5</v>
      </c>
      <c r="D30" s="16" t="s">
        <v>74</v>
      </c>
      <c r="E30" s="6" t="s">
        <v>9</v>
      </c>
      <c r="F30" s="16">
        <v>46166</v>
      </c>
      <c r="G30" s="6" t="s">
        <v>126</v>
      </c>
      <c r="H30" s="6" t="s">
        <v>147</v>
      </c>
      <c r="I30" s="18">
        <v>130</v>
      </c>
    </row>
    <row r="31" spans="1:9">
      <c r="A31" s="10" t="s">
        <v>91</v>
      </c>
      <c r="B31" s="10" t="s">
        <v>93</v>
      </c>
      <c r="C31" s="10">
        <v>50</v>
      </c>
      <c r="D31" s="16" t="s">
        <v>92</v>
      </c>
      <c r="E31" s="6" t="s">
        <v>13</v>
      </c>
      <c r="F31" s="16">
        <v>46358</v>
      </c>
      <c r="G31" s="6" t="s">
        <v>126</v>
      </c>
      <c r="H31" s="6" t="s">
        <v>148</v>
      </c>
      <c r="I31" s="18">
        <v>50</v>
      </c>
    </row>
    <row r="32" spans="1:9">
      <c r="A32" s="9" t="s">
        <v>94</v>
      </c>
      <c r="B32" s="9" t="s">
        <v>96</v>
      </c>
      <c r="C32" s="9">
        <v>20</v>
      </c>
      <c r="D32" s="16" t="s">
        <v>95</v>
      </c>
      <c r="E32" s="6" t="s">
        <v>56</v>
      </c>
      <c r="F32" s="16">
        <v>46212</v>
      </c>
      <c r="G32" s="6" t="s">
        <v>149</v>
      </c>
      <c r="H32" s="6" t="s">
        <v>150</v>
      </c>
      <c r="I32" s="18">
        <v>100</v>
      </c>
    </row>
  </sheetData>
  <conditionalFormatting sqref="E2:E32">
    <cfRule type="expression" dxfId="0" priority="2">
      <formula>E2:E32="Electronics"</formula>
    </cfRule>
  </conditionalFormatting>
  <conditionalFormatting sqref="I1:I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{22E4300A-DD01-4746-8828-99416754889A}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E4300A-DD01-4746-8828-9941675488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Dataset</vt:lpstr>
      <vt:lpstr>Handling Missing Values</vt:lpstr>
      <vt:lpstr>Correcting inconsistent data</vt:lpstr>
      <vt:lpstr>Removing Duplicates</vt:lpstr>
      <vt:lpstr>Splitting and Merging Data</vt:lpstr>
      <vt:lpstr>Number Formatting</vt:lpstr>
      <vt:lpstr>Conditional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squee</dc:creator>
  <cp:lastModifiedBy>Shree squee</cp:lastModifiedBy>
  <dcterms:created xsi:type="dcterms:W3CDTF">2026-07-23T14:43:37Z</dcterms:created>
  <dcterms:modified xsi:type="dcterms:W3CDTF">2026-08-28T21:40:13Z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