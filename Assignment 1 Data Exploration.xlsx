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ataset" sheetId="2" r:id="rId5"/>
  </sheets>
  <definedNames/>
  <calcPr/>
  <extLst>
    <ext uri="GoogleSheetsCustomDataVersion2">
      <go:sheetsCustomData xmlns:go="http://customooxmlschemas.google.com/" r:id="rId6" roundtripDataChecksum="UKtKOczH8TK5LGo3qXzdK4lvXxPGXgpe3HYC6CmdQHA="/>
    </ext>
  </extLst>
</workbook>
</file>

<file path=xl/sharedStrings.xml><?xml version="1.0" encoding="utf-8"?>
<sst xmlns="http://schemas.openxmlformats.org/spreadsheetml/2006/main" count="177" uniqueCount="128">
  <si>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</si>
  <si>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</si>
  <si>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</si>
  <si>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</si>
  <si>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</si>
  <si>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</si>
  <si>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</si>
  <si>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</si>
  <si>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</si>
  <si>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</si>
  <si>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</si>
  <si>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</si>
  <si>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</si>
  <si>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</si>
  <si>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</si>
  <si>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</si>
  <si>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</si>
  <si>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</si>
  <si>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DAY</t>
  </si>
  <si>
    <t>COUNTRY CODE</t>
  </si>
  <si>
    <t>MONTH</t>
  </si>
  <si>
    <t>Product Name</t>
  </si>
  <si>
    <t>Brand Name</t>
  </si>
  <si>
    <t>Price ($)</t>
  </si>
  <si>
    <t>Quantity</t>
  </si>
  <si>
    <t>Category</t>
  </si>
  <si>
    <t>Price Range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</si>
  <si>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</si>
  <si>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</si>
  <si>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</si>
  <si>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</si>
  <si>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</si>
  <si>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</si>
  <si>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</si>
  <si>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</si>
  <si>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</si>
  <si>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</si>
  <si>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</si>
  <si>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</si>
  <si>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</si>
  <si>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</si>
  <si>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</si>
  <si>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</si>
  <si>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</si>
  <si>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</si>
  <si>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</si>
  <si>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</si>
  <si>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</si>
  <si>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</si>
  <si>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Total price of all the products</t>
  </si>
  <si>
    <t>SUM</t>
  </si>
  <si>
    <t>19-JUL-UK</t>
  </si>
  <si>
    <t>T-shirt</t>
  </si>
  <si>
    <t>Adidas</t>
  </si>
  <si>
    <t>Number of products</t>
  </si>
  <si>
    <t>COUNTA</t>
  </si>
  <si>
    <t>23-AUG-UK</t>
  </si>
  <si>
    <t>Blender</t>
  </si>
  <si>
    <t>Ninja</t>
  </si>
  <si>
    <t>Average price of the products</t>
  </si>
  <si>
    <t>AVERAGE</t>
  </si>
  <si>
    <t>05-SEP-UK</t>
  </si>
  <si>
    <t>Tablet</t>
  </si>
  <si>
    <t>Apple</t>
  </si>
  <si>
    <t>14-OCT-UK</t>
  </si>
  <si>
    <t>Hiking Boots</t>
  </si>
  <si>
    <t>Timberland</t>
  </si>
  <si>
    <t>Minimum price among all the products</t>
  </si>
  <si>
    <t>MIN</t>
  </si>
  <si>
    <t>17-JUN-IN</t>
  </si>
  <si>
    <t>HP</t>
  </si>
  <si>
    <t>Maximum price among all the products</t>
  </si>
  <si>
    <t>MAX</t>
  </si>
  <si>
    <t>25-NOV-AU</t>
  </si>
  <si>
    <t>08-DEC-DE</t>
  </si>
  <si>
    <t>Nespresso</t>
  </si>
  <si>
    <t>Total price of products in "Electronics" category</t>
  </si>
  <si>
    <t>SUMIFS</t>
  </si>
  <si>
    <t>18-FEB-CA</t>
  </si>
  <si>
    <t>Smartwatch</t>
  </si>
  <si>
    <t>Fitbit</t>
  </si>
  <si>
    <t>Count of products with price less than $100</t>
  </si>
  <si>
    <t>COUNTIF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</si>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</sst>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b/>
      <sz val="11.0"/>
      <color theme="1"/>
      <name val="Calibri"/>
    </font>
    <font>
      <b/>
      <sz val="11.0"/>
      <color rgb="FF000000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theme="6"/>
        <bgColor theme="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readingOrder="0"/>
    </xf>
    <xf borderId="1" fillId="2" fontId="5" numFmtId="0" xfId="0" applyAlignment="1" applyBorder="1" applyFill="1" applyFont="1">
      <alignment horizontal="center"/>
    </xf>
    <xf borderId="1" fillId="0" fontId="6" numFmtId="0" xfId="0" applyAlignment="1" applyBorder="1" applyFont="1">
      <alignment horizontal="center"/>
    </xf>
    <xf borderId="0" fillId="0" fontId="6" numFmtId="0" xfId="0" applyFont="1"/>
    <xf borderId="0" fillId="0" fontId="6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FEF1CC"/>
          <bgColor rgb="FFFEF1CC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Datase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35" displayName="Table1" name="Table1" id="1">
  <tableColumns count="10">
    <tableColumn name="Product ID" id="1"/>
    <tableColumn name="DAY" id="2"/>
    <tableColumn name="COUNTRY CODE" id="3"/>
    <tableColumn name="MONTH" id="4"/>
    <tableColumn name="Product Name" id="5"/>
    <tableColumn name="Brand Name" id="6"/>
    <tableColumn name="Price ($)" id="7"/>
    <tableColumn name="Quantity" id="8"/>
    <tableColumn name="Category" id="9"/>
    <tableColumn name="Price Range" id="10"/>
  </tableColumns>
  <tableStyleInfo name="Datas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2" max="2" width="7.5"/>
  </cols>
  <sheetData>
    <row r="1" ht="15.75" customHeight="1">
      <c r="A1" s="1" t="s">
        <v>0</v>
      </c>
    </row>
    <row r="2" ht="15.75" customHeight="1"/>
    <row r="3" ht="15.75" customHeight="1">
      <c r="B3" s="2" t="s">
        <v>1</v>
      </c>
    </row>
    <row r="4" ht="15.75" customHeight="1">
      <c r="B4" s="2"/>
      <c r="C4" s="3" t="s">
        <v>2</v>
      </c>
    </row>
    <row r="5" ht="15.75" customHeight="1">
      <c r="B5" s="2"/>
      <c r="C5" s="3" t="s">
        <v>3</v>
      </c>
    </row>
    <row r="6" ht="15.75" customHeight="1">
      <c r="B6" s="2"/>
      <c r="C6" s="3" t="s">
        <v>4</v>
      </c>
    </row>
    <row r="7" ht="15.75" customHeight="1">
      <c r="B7" s="4"/>
    </row>
    <row r="8" ht="15.75" customHeight="1">
      <c r="B8" s="2" t="s">
        <v>5</v>
      </c>
    </row>
    <row r="9" ht="15.75" customHeight="1">
      <c r="C9" s="3" t="s">
        <v>6</v>
      </c>
    </row>
    <row r="10" ht="15.75" customHeight="1">
      <c r="C10" s="3" t="s">
        <v>7</v>
      </c>
    </row>
    <row r="11" ht="15.75" customHeight="1">
      <c r="B11" s="4"/>
    </row>
    <row r="12" ht="15.75" customHeight="1">
      <c r="B12" s="2" t="s">
        <v>8</v>
      </c>
    </row>
    <row r="13" ht="15.75" customHeight="1">
      <c r="C13" s="3" t="s">
        <v>9</v>
      </c>
    </row>
    <row r="14" ht="15.75" customHeight="1">
      <c r="B14" s="4"/>
    </row>
    <row r="15" ht="15.75" customHeight="1">
      <c r="B15" s="2" t="s">
        <v>10</v>
      </c>
    </row>
    <row r="16" ht="15.75" customHeight="1">
      <c r="C16" s="3" t="s">
        <v>11</v>
      </c>
    </row>
    <row r="17" ht="15.75" customHeight="1">
      <c r="C17" s="3" t="s">
        <v>12</v>
      </c>
    </row>
    <row r="18" ht="15.75" customHeight="1">
      <c r="B18" s="4"/>
    </row>
    <row r="19" ht="15.75" customHeight="1">
      <c r="B19" s="2" t="s">
        <v>13</v>
      </c>
    </row>
    <row r="20" ht="15.75" customHeight="1">
      <c r="C20" s="3" t="s">
        <v>14</v>
      </c>
    </row>
    <row r="21" ht="15.75" customHeight="1">
      <c r="C21" s="3" t="s">
        <v>15</v>
      </c>
    </row>
    <row r="22" ht="15.75" customHeight="1">
      <c r="C22" s="3" t="s">
        <v>16</v>
      </c>
    </row>
    <row r="23" ht="15.75" customHeight="1">
      <c r="B23" s="4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25"/>
    <col customWidth="1" min="2" max="2" width="6.5"/>
    <col customWidth="1" min="3" max="3" width="17.75"/>
    <col customWidth="1" min="4" max="4" width="9.5"/>
    <col customWidth="1" min="5" max="5" width="15.38"/>
    <col customWidth="1" min="6" max="6" width="13.63"/>
    <col customWidth="1" min="7" max="7" width="10.25"/>
    <col customWidth="1" min="8" max="8" width="10.38"/>
    <col customWidth="1" min="9" max="9" width="11.0"/>
    <col customWidth="1" min="10" max="10" width="13.5"/>
    <col customWidth="1" min="12" max="12" width="40.88"/>
    <col customWidth="1" min="13" max="13" width="11.0"/>
    <col customWidth="1" min="14" max="15" width="12.0"/>
    <col customWidth="1" min="16" max="16" width="40.88"/>
    <col customWidth="1" min="17" max="17" width="9.88"/>
  </cols>
  <sheetData>
    <row r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</row>
    <row r="2">
      <c r="A2" s="6" t="s">
        <v>27</v>
      </c>
      <c r="B2" s="6" t="str">
        <f t="shared" ref="B2:B35" si="1">LEFT(A2,2)</f>
        <v>28</v>
      </c>
      <c r="C2" s="6" t="str">
        <f t="shared" ref="C2:C35" si="2">RIGHT(A2,2)</f>
        <v>US</v>
      </c>
      <c r="D2" s="6" t="str">
        <f t="shared" ref="D2:D35" si="3">MID(A2,4,3)</f>
        <v>JAN</v>
      </c>
      <c r="E2" s="6" t="s">
        <v>28</v>
      </c>
      <c r="F2" s="6" t="s">
        <v>29</v>
      </c>
      <c r="G2" s="6">
        <v>1000.0</v>
      </c>
      <c r="H2" s="6">
        <v>30.0</v>
      </c>
      <c r="I2" s="6" t="s">
        <v>30</v>
      </c>
      <c r="J2" s="6" t="str">
        <f t="shared" ref="J2:J35" si="4">IF(G2&gt;=500,"High Price","Standard Rice")</f>
        <v>High Price</v>
      </c>
    </row>
    <row r="3">
      <c r="A3" s="6" t="s">
        <v>31</v>
      </c>
      <c r="B3" s="6" t="str">
        <f t="shared" si="1"/>
        <v>15</v>
      </c>
      <c r="C3" s="6" t="str">
        <f t="shared" si="2"/>
        <v>US</v>
      </c>
      <c r="D3" s="6" t="str">
        <f t="shared" si="3"/>
        <v>FEB</v>
      </c>
      <c r="E3" s="6" t="s">
        <v>32</v>
      </c>
      <c r="F3" s="6" t="s">
        <v>33</v>
      </c>
      <c r="G3" s="6">
        <v>80.0</v>
      </c>
      <c r="H3" s="6">
        <v>15.0</v>
      </c>
      <c r="I3" s="6" t="s">
        <v>34</v>
      </c>
      <c r="J3" s="6" t="str">
        <f t="shared" si="4"/>
        <v>Standard Rice</v>
      </c>
    </row>
    <row r="4">
      <c r="A4" s="6" t="s">
        <v>35</v>
      </c>
      <c r="B4" s="6" t="str">
        <f t="shared" si="1"/>
        <v>03</v>
      </c>
      <c r="C4" s="6" t="str">
        <f t="shared" si="2"/>
        <v>US</v>
      </c>
      <c r="D4" s="6" t="str">
        <f t="shared" si="3"/>
        <v>MAR</v>
      </c>
      <c r="E4" s="6" t="s">
        <v>36</v>
      </c>
      <c r="F4" s="6" t="s">
        <v>37</v>
      </c>
      <c r="G4" s="6">
        <v>130.0</v>
      </c>
      <c r="H4" s="6">
        <v>40.0</v>
      </c>
      <c r="I4" s="6" t="s">
        <v>38</v>
      </c>
      <c r="J4" s="6" t="str">
        <f t="shared" si="4"/>
        <v>Standard Rice</v>
      </c>
    </row>
    <row r="5">
      <c r="A5" s="6" t="s">
        <v>39</v>
      </c>
      <c r="B5" s="6" t="str">
        <f t="shared" si="1"/>
        <v>11</v>
      </c>
      <c r="C5" s="6" t="str">
        <f t="shared" si="2"/>
        <v>US</v>
      </c>
      <c r="D5" s="6" t="str">
        <f t="shared" si="3"/>
        <v>APR</v>
      </c>
      <c r="E5" s="6" t="s">
        <v>40</v>
      </c>
      <c r="F5" s="6" t="s">
        <v>41</v>
      </c>
      <c r="G5" s="6">
        <v>900.0</v>
      </c>
      <c r="H5" s="6">
        <v>25.0</v>
      </c>
      <c r="I5" s="6" t="s">
        <v>30</v>
      </c>
      <c r="J5" s="6" t="str">
        <f t="shared" si="4"/>
        <v>High Price</v>
      </c>
    </row>
    <row r="6">
      <c r="A6" s="6" t="s">
        <v>42</v>
      </c>
      <c r="B6" s="6" t="str">
        <f t="shared" si="1"/>
        <v>22</v>
      </c>
      <c r="C6" s="6" t="str">
        <f t="shared" si="2"/>
        <v>US</v>
      </c>
      <c r="D6" s="6" t="str">
        <f t="shared" si="3"/>
        <v>MAY</v>
      </c>
      <c r="E6" s="6" t="s">
        <v>43</v>
      </c>
      <c r="F6" s="6" t="s">
        <v>44</v>
      </c>
      <c r="G6" s="6">
        <v>70.0</v>
      </c>
      <c r="H6" s="6">
        <v>20.0</v>
      </c>
      <c r="I6" s="6" t="s">
        <v>45</v>
      </c>
      <c r="J6" s="6" t="str">
        <f t="shared" si="4"/>
        <v>Standard Rice</v>
      </c>
    </row>
    <row r="7">
      <c r="A7" s="6" t="s">
        <v>46</v>
      </c>
      <c r="B7" s="6" t="str">
        <f t="shared" si="1"/>
        <v>07</v>
      </c>
      <c r="C7" s="6" t="str">
        <f t="shared" si="2"/>
        <v>UK</v>
      </c>
      <c r="D7" s="6" t="str">
        <f t="shared" si="3"/>
        <v>JUN</v>
      </c>
      <c r="E7" s="6" t="s">
        <v>47</v>
      </c>
      <c r="F7" s="6" t="s">
        <v>48</v>
      </c>
      <c r="G7" s="6">
        <v>200.0</v>
      </c>
      <c r="H7" s="6">
        <v>45.0</v>
      </c>
      <c r="I7" s="6" t="s">
        <v>30</v>
      </c>
      <c r="J7" s="6" t="str">
        <f t="shared" si="4"/>
        <v>Standard Rice</v>
      </c>
      <c r="L7" s="7" t="s">
        <v>49</v>
      </c>
      <c r="M7" s="8" t="s">
        <v>50</v>
      </c>
      <c r="N7" s="9">
        <f>SUM(G2:G35)</f>
        <v>10100</v>
      </c>
    </row>
    <row r="8">
      <c r="A8" s="6" t="s">
        <v>51</v>
      </c>
      <c r="B8" s="6" t="str">
        <f t="shared" si="1"/>
        <v>19</v>
      </c>
      <c r="C8" s="6" t="str">
        <f t="shared" si="2"/>
        <v>UK</v>
      </c>
      <c r="D8" s="6" t="str">
        <f t="shared" si="3"/>
        <v>JUL</v>
      </c>
      <c r="E8" s="6" t="s">
        <v>52</v>
      </c>
      <c r="F8" s="6" t="s">
        <v>53</v>
      </c>
      <c r="G8" s="6">
        <v>30.0</v>
      </c>
      <c r="H8" s="6">
        <v>5.0</v>
      </c>
      <c r="I8" s="6" t="s">
        <v>34</v>
      </c>
      <c r="J8" s="6" t="str">
        <f t="shared" si="4"/>
        <v>Standard Rice</v>
      </c>
      <c r="L8" s="7" t="s">
        <v>54</v>
      </c>
      <c r="M8" s="8" t="s">
        <v>55</v>
      </c>
      <c r="N8" s="9">
        <f>COUNTA(E2:E35)</f>
        <v>34</v>
      </c>
    </row>
    <row r="9">
      <c r="A9" s="6" t="s">
        <v>56</v>
      </c>
      <c r="B9" s="6" t="str">
        <f t="shared" si="1"/>
        <v>23</v>
      </c>
      <c r="C9" s="6" t="str">
        <f t="shared" si="2"/>
        <v>UK</v>
      </c>
      <c r="D9" s="6" t="str">
        <f t="shared" si="3"/>
        <v>AUG</v>
      </c>
      <c r="E9" s="6" t="s">
        <v>57</v>
      </c>
      <c r="F9" s="6" t="s">
        <v>58</v>
      </c>
      <c r="G9" s="6">
        <v>90.0</v>
      </c>
      <c r="H9" s="6">
        <v>35.0</v>
      </c>
      <c r="I9" s="6" t="s">
        <v>38</v>
      </c>
      <c r="J9" s="6" t="str">
        <f t="shared" si="4"/>
        <v>Standard Rice</v>
      </c>
      <c r="L9" s="7" t="s">
        <v>59</v>
      </c>
      <c r="M9" s="8" t="s">
        <v>60</v>
      </c>
      <c r="N9" s="9">
        <f>AVERAGE(G2:G35)</f>
        <v>297.0588235</v>
      </c>
    </row>
    <row r="10">
      <c r="A10" s="6" t="s">
        <v>61</v>
      </c>
      <c r="B10" s="6" t="str">
        <f t="shared" si="1"/>
        <v>05</v>
      </c>
      <c r="C10" s="6" t="str">
        <f t="shared" si="2"/>
        <v>UK</v>
      </c>
      <c r="D10" s="6" t="str">
        <f t="shared" si="3"/>
        <v>SEP</v>
      </c>
      <c r="E10" s="6" t="s">
        <v>62</v>
      </c>
      <c r="F10" s="6" t="s">
        <v>63</v>
      </c>
      <c r="G10" s="6">
        <v>500.0</v>
      </c>
      <c r="H10" s="6">
        <v>50.0</v>
      </c>
      <c r="I10" s="6" t="s">
        <v>30</v>
      </c>
      <c r="J10" s="6" t="str">
        <f t="shared" si="4"/>
        <v>High Price</v>
      </c>
      <c r="L10" s="10"/>
      <c r="M10" s="9"/>
      <c r="N10" s="9"/>
    </row>
    <row r="11">
      <c r="A11" s="6" t="s">
        <v>64</v>
      </c>
      <c r="B11" s="6" t="str">
        <f t="shared" si="1"/>
        <v>14</v>
      </c>
      <c r="C11" s="6" t="str">
        <f t="shared" si="2"/>
        <v>UK</v>
      </c>
      <c r="D11" s="6" t="str">
        <f t="shared" si="3"/>
        <v>OCT</v>
      </c>
      <c r="E11" s="6" t="s">
        <v>65</v>
      </c>
      <c r="F11" s="6" t="s">
        <v>66</v>
      </c>
      <c r="G11" s="6">
        <v>130.0</v>
      </c>
      <c r="H11" s="6">
        <v>10.0</v>
      </c>
      <c r="I11" s="6" t="s">
        <v>45</v>
      </c>
      <c r="J11" s="6" t="str">
        <f t="shared" si="4"/>
        <v>Standard Rice</v>
      </c>
      <c r="L11" s="7" t="s">
        <v>67</v>
      </c>
      <c r="M11" s="8" t="s">
        <v>68</v>
      </c>
      <c r="N11" s="9">
        <f>MIN(G2:G35)</f>
        <v>30</v>
      </c>
    </row>
    <row r="12">
      <c r="A12" s="6" t="s">
        <v>69</v>
      </c>
      <c r="B12" s="6" t="str">
        <f t="shared" si="1"/>
        <v>17</v>
      </c>
      <c r="C12" s="6" t="str">
        <f t="shared" si="2"/>
        <v>IN</v>
      </c>
      <c r="D12" s="6" t="str">
        <f t="shared" si="3"/>
        <v>JUN</v>
      </c>
      <c r="E12" s="6" t="s">
        <v>28</v>
      </c>
      <c r="F12" s="6" t="s">
        <v>70</v>
      </c>
      <c r="G12" s="6">
        <v>950.0</v>
      </c>
      <c r="H12" s="6">
        <v>25.0</v>
      </c>
      <c r="I12" s="6" t="s">
        <v>30</v>
      </c>
      <c r="J12" s="6" t="str">
        <f t="shared" si="4"/>
        <v>High Price</v>
      </c>
      <c r="L12" s="7" t="s">
        <v>71</v>
      </c>
      <c r="M12" s="8" t="s">
        <v>72</v>
      </c>
      <c r="N12" s="9">
        <f>MAX(G2:G35)</f>
        <v>1000</v>
      </c>
    </row>
    <row r="13">
      <c r="A13" s="6" t="s">
        <v>73</v>
      </c>
      <c r="B13" s="6" t="str">
        <f t="shared" si="1"/>
        <v>25</v>
      </c>
      <c r="C13" s="6" t="str">
        <f t="shared" si="2"/>
        <v>AU</v>
      </c>
      <c r="D13" s="6" t="str">
        <f t="shared" si="3"/>
        <v>NOV</v>
      </c>
      <c r="E13" s="6" t="s">
        <v>32</v>
      </c>
      <c r="F13" s="6" t="s">
        <v>53</v>
      </c>
      <c r="G13" s="6">
        <v>90.0</v>
      </c>
      <c r="H13" s="6">
        <v>40.0</v>
      </c>
      <c r="I13" s="6" t="s">
        <v>34</v>
      </c>
      <c r="J13" s="6" t="str">
        <f t="shared" si="4"/>
        <v>Standard Rice</v>
      </c>
      <c r="L13" s="10"/>
      <c r="M13" s="9"/>
      <c r="N13" s="9"/>
    </row>
    <row r="14">
      <c r="A14" s="6" t="s">
        <v>74</v>
      </c>
      <c r="B14" s="6" t="str">
        <f t="shared" si="1"/>
        <v>08</v>
      </c>
      <c r="C14" s="6" t="str">
        <f t="shared" si="2"/>
        <v>DE</v>
      </c>
      <c r="D14" s="6" t="str">
        <f t="shared" si="3"/>
        <v>DEC</v>
      </c>
      <c r="E14" s="6" t="s">
        <v>36</v>
      </c>
      <c r="F14" s="6" t="s">
        <v>75</v>
      </c>
      <c r="G14" s="6">
        <v>120.0</v>
      </c>
      <c r="H14" s="6">
        <v>35.0</v>
      </c>
      <c r="I14" s="6" t="s">
        <v>38</v>
      </c>
      <c r="J14" s="6" t="str">
        <f t="shared" si="4"/>
        <v>Standard Rice</v>
      </c>
      <c r="L14" s="7" t="s">
        <v>76</v>
      </c>
      <c r="M14" s="8" t="s">
        <v>77</v>
      </c>
      <c r="N14" s="9">
        <f>SUMIFS(G2:G35,I2:I35,"Electronics")</f>
        <v>8050</v>
      </c>
    </row>
    <row r="15">
      <c r="A15" s="6" t="s">
        <v>78</v>
      </c>
      <c r="B15" s="6" t="str">
        <f t="shared" si="1"/>
        <v>18</v>
      </c>
      <c r="C15" s="6" t="str">
        <f t="shared" si="2"/>
        <v>CA</v>
      </c>
      <c r="D15" s="6" t="str">
        <f t="shared" si="3"/>
        <v>FEB</v>
      </c>
      <c r="E15" s="6" t="s">
        <v>79</v>
      </c>
      <c r="F15" s="6" t="s">
        <v>80</v>
      </c>
      <c r="G15" s="6">
        <v>150.0</v>
      </c>
      <c r="H15" s="6">
        <v>15.0</v>
      </c>
      <c r="I15" s="6" t="s">
        <v>30</v>
      </c>
      <c r="J15" s="6" t="str">
        <f t="shared" si="4"/>
        <v>Standard Rice</v>
      </c>
      <c r="L15" s="10" t="s">
        <v>81</v>
      </c>
      <c r="M15" s="8" t="s">
        <v>82</v>
      </c>
      <c r="N15" s="9">
        <f>COUNTIF(G2:G35,"&lt;100")</f>
        <v>11</v>
      </c>
    </row>
    <row r="16">
      <c r="A16" s="6" t="s">
        <v>83</v>
      </c>
      <c r="B16" s="6" t="str">
        <f t="shared" si="1"/>
        <v>16</v>
      </c>
      <c r="C16" s="6" t="str">
        <f t="shared" si="2"/>
        <v>ES</v>
      </c>
      <c r="D16" s="6" t="str">
        <f t="shared" si="3"/>
        <v>APR</v>
      </c>
      <c r="E16" s="6" t="s">
        <v>47</v>
      </c>
      <c r="F16" s="6" t="s">
        <v>84</v>
      </c>
      <c r="G16" s="6">
        <v>250.0</v>
      </c>
      <c r="H16" s="6">
        <v>20.0</v>
      </c>
      <c r="I16" s="6" t="s">
        <v>30</v>
      </c>
      <c r="J16" s="6" t="str">
        <f t="shared" si="4"/>
        <v>Standard Rice</v>
      </c>
    </row>
    <row r="17">
      <c r="A17" s="6" t="s">
        <v>85</v>
      </c>
      <c r="B17" s="6" t="str">
        <f t="shared" si="1"/>
        <v>21</v>
      </c>
      <c r="C17" s="6" t="str">
        <f t="shared" si="2"/>
        <v>CA</v>
      </c>
      <c r="D17" s="6" t="str">
        <f t="shared" si="3"/>
        <v>AUG</v>
      </c>
      <c r="E17" s="6" t="s">
        <v>86</v>
      </c>
      <c r="F17" s="6" t="s">
        <v>87</v>
      </c>
      <c r="G17" s="6">
        <v>50.0</v>
      </c>
      <c r="H17" s="6">
        <v>35.0</v>
      </c>
      <c r="I17" s="6" t="s">
        <v>88</v>
      </c>
      <c r="J17" s="6" t="str">
        <f t="shared" si="4"/>
        <v>Standard Rice</v>
      </c>
      <c r="O17" s="11"/>
    </row>
    <row r="18">
      <c r="A18" s="6" t="s">
        <v>89</v>
      </c>
      <c r="B18" s="6" t="str">
        <f t="shared" si="1"/>
        <v>20</v>
      </c>
      <c r="C18" s="6" t="str">
        <f t="shared" si="2"/>
        <v>CN</v>
      </c>
      <c r="D18" s="6" t="str">
        <f t="shared" si="3"/>
        <v>AUG</v>
      </c>
      <c r="E18" s="6" t="s">
        <v>79</v>
      </c>
      <c r="F18" s="6" t="s">
        <v>90</v>
      </c>
      <c r="G18" s="6">
        <v>160.0</v>
      </c>
      <c r="H18" s="6">
        <v>15.0</v>
      </c>
      <c r="I18" s="6" t="s">
        <v>30</v>
      </c>
      <c r="J18" s="6" t="str">
        <f t="shared" si="4"/>
        <v>Standard Rice</v>
      </c>
    </row>
    <row r="19">
      <c r="A19" s="6" t="s">
        <v>91</v>
      </c>
      <c r="B19" s="6" t="str">
        <f t="shared" si="1"/>
        <v>27</v>
      </c>
      <c r="C19" s="6" t="str">
        <f t="shared" si="2"/>
        <v>IT</v>
      </c>
      <c r="D19" s="6" t="str">
        <f t="shared" si="3"/>
        <v>JAN</v>
      </c>
      <c r="E19" s="6" t="s">
        <v>28</v>
      </c>
      <c r="F19" s="6" t="s">
        <v>92</v>
      </c>
      <c r="G19" s="6">
        <v>980.0</v>
      </c>
      <c r="H19" s="6">
        <v>10.0</v>
      </c>
      <c r="I19" s="6" t="s">
        <v>30</v>
      </c>
      <c r="J19" s="6" t="str">
        <f t="shared" si="4"/>
        <v>High Price</v>
      </c>
    </row>
    <row r="20">
      <c r="A20" s="6" t="s">
        <v>93</v>
      </c>
      <c r="B20" s="6" t="str">
        <f t="shared" si="1"/>
        <v>01</v>
      </c>
      <c r="C20" s="6" t="str">
        <f t="shared" si="2"/>
        <v>UK</v>
      </c>
      <c r="D20" s="6" t="str">
        <f t="shared" si="3"/>
        <v>MAR</v>
      </c>
      <c r="E20" s="6" t="s">
        <v>94</v>
      </c>
      <c r="F20" s="6" t="s">
        <v>95</v>
      </c>
      <c r="G20" s="6">
        <v>150.0</v>
      </c>
      <c r="H20" s="6">
        <v>15.0</v>
      </c>
      <c r="I20" s="6" t="s">
        <v>34</v>
      </c>
      <c r="J20" s="6" t="str">
        <f t="shared" si="4"/>
        <v>Standard Rice</v>
      </c>
    </row>
    <row r="21">
      <c r="A21" s="6" t="s">
        <v>96</v>
      </c>
      <c r="B21" s="6" t="str">
        <f t="shared" si="1"/>
        <v>14</v>
      </c>
      <c r="C21" s="6" t="str">
        <f t="shared" si="2"/>
        <v>US</v>
      </c>
      <c r="D21" s="6" t="str">
        <f t="shared" si="3"/>
        <v>AUG</v>
      </c>
      <c r="E21" s="6" t="s">
        <v>97</v>
      </c>
      <c r="F21" s="6" t="s">
        <v>98</v>
      </c>
      <c r="G21" s="6">
        <v>200.0</v>
      </c>
      <c r="H21" s="6">
        <v>10.0</v>
      </c>
      <c r="I21" s="6" t="s">
        <v>45</v>
      </c>
      <c r="J21" s="6" t="str">
        <f t="shared" si="4"/>
        <v>Standard Rice</v>
      </c>
    </row>
    <row r="22">
      <c r="A22" s="6" t="s">
        <v>99</v>
      </c>
      <c r="B22" s="6" t="str">
        <f t="shared" si="1"/>
        <v>14</v>
      </c>
      <c r="C22" s="6" t="str">
        <f t="shared" si="2"/>
        <v>RU</v>
      </c>
      <c r="D22" s="6" t="str">
        <f t="shared" si="3"/>
        <v>MAY</v>
      </c>
      <c r="E22" s="6" t="s">
        <v>100</v>
      </c>
      <c r="F22" s="6" t="s">
        <v>101</v>
      </c>
      <c r="G22" s="6">
        <v>700.0</v>
      </c>
      <c r="H22" s="6">
        <v>50.0</v>
      </c>
      <c r="I22" s="6" t="s">
        <v>30</v>
      </c>
      <c r="J22" s="6" t="str">
        <f t="shared" si="4"/>
        <v>High Price</v>
      </c>
    </row>
    <row r="23">
      <c r="A23" s="6" t="s">
        <v>102</v>
      </c>
      <c r="B23" s="6" t="str">
        <f t="shared" si="1"/>
        <v>09</v>
      </c>
      <c r="C23" s="6" t="str">
        <f t="shared" si="2"/>
        <v>CA</v>
      </c>
      <c r="D23" s="6" t="str">
        <f t="shared" si="3"/>
        <v>JAN</v>
      </c>
      <c r="E23" s="6" t="s">
        <v>103</v>
      </c>
      <c r="F23" s="6" t="s">
        <v>104</v>
      </c>
      <c r="G23" s="6">
        <v>80.0</v>
      </c>
      <c r="H23" s="6">
        <v>20.0</v>
      </c>
      <c r="I23" s="6" t="s">
        <v>38</v>
      </c>
      <c r="J23" s="6" t="str">
        <f t="shared" si="4"/>
        <v>Standard Rice</v>
      </c>
    </row>
    <row r="24">
      <c r="A24" s="6" t="s">
        <v>105</v>
      </c>
      <c r="B24" s="6" t="str">
        <f t="shared" si="1"/>
        <v>19</v>
      </c>
      <c r="C24" s="6" t="str">
        <f t="shared" si="2"/>
        <v>BR</v>
      </c>
      <c r="D24" s="6" t="str">
        <f t="shared" si="3"/>
        <v>JUL</v>
      </c>
      <c r="E24" s="6" t="s">
        <v>106</v>
      </c>
      <c r="F24" s="6" t="s">
        <v>107</v>
      </c>
      <c r="G24" s="6">
        <v>150.0</v>
      </c>
      <c r="H24" s="6">
        <v>30.0</v>
      </c>
      <c r="I24" s="6" t="s">
        <v>30</v>
      </c>
      <c r="J24" s="6" t="str">
        <f t="shared" si="4"/>
        <v>Standard Rice</v>
      </c>
    </row>
    <row r="25">
      <c r="A25" s="6" t="s">
        <v>85</v>
      </c>
      <c r="B25" s="6" t="str">
        <f t="shared" si="1"/>
        <v>21</v>
      </c>
      <c r="C25" s="6" t="str">
        <f t="shared" si="2"/>
        <v>CA</v>
      </c>
      <c r="D25" s="6" t="str">
        <f t="shared" si="3"/>
        <v>AUG</v>
      </c>
      <c r="E25" s="6" t="s">
        <v>86</v>
      </c>
      <c r="F25" s="6" t="s">
        <v>87</v>
      </c>
      <c r="G25" s="6">
        <v>50.0</v>
      </c>
      <c r="H25" s="6">
        <v>35.0</v>
      </c>
      <c r="I25" s="6" t="s">
        <v>88</v>
      </c>
      <c r="J25" s="6" t="str">
        <f t="shared" si="4"/>
        <v>Standard Rice</v>
      </c>
    </row>
    <row r="26">
      <c r="A26" s="6" t="s">
        <v>108</v>
      </c>
      <c r="B26" s="6" t="str">
        <f t="shared" si="1"/>
        <v>29</v>
      </c>
      <c r="C26" s="6" t="str">
        <f t="shared" si="2"/>
        <v>CA</v>
      </c>
      <c r="D26" s="6" t="str">
        <f t="shared" si="3"/>
        <v>SEP</v>
      </c>
      <c r="E26" s="6" t="s">
        <v>40</v>
      </c>
      <c r="F26" s="6" t="s">
        <v>109</v>
      </c>
      <c r="G26" s="6">
        <v>800.0</v>
      </c>
      <c r="H26" s="6">
        <v>45.0</v>
      </c>
      <c r="I26" s="6" t="s">
        <v>30</v>
      </c>
      <c r="J26" s="6" t="str">
        <f t="shared" si="4"/>
        <v>High Price</v>
      </c>
    </row>
    <row r="27">
      <c r="A27" s="6" t="s">
        <v>110</v>
      </c>
      <c r="B27" s="6" t="str">
        <f t="shared" si="1"/>
        <v>03</v>
      </c>
      <c r="C27" s="6" t="str">
        <f t="shared" si="2"/>
        <v>CA</v>
      </c>
      <c r="D27" s="6" t="str">
        <f t="shared" si="3"/>
        <v>JUN</v>
      </c>
      <c r="E27" s="6" t="s">
        <v>94</v>
      </c>
      <c r="F27" s="6" t="s">
        <v>111</v>
      </c>
      <c r="G27" s="6">
        <v>130.0</v>
      </c>
      <c r="H27" s="6">
        <v>25.0</v>
      </c>
      <c r="I27" s="6" t="s">
        <v>34</v>
      </c>
      <c r="J27" s="6" t="str">
        <f t="shared" si="4"/>
        <v>Standard Rice</v>
      </c>
    </row>
    <row r="28">
      <c r="A28" s="6" t="s">
        <v>112</v>
      </c>
      <c r="B28" s="6" t="str">
        <f t="shared" si="1"/>
        <v>11</v>
      </c>
      <c r="C28" s="6" t="str">
        <f t="shared" si="2"/>
        <v>CA</v>
      </c>
      <c r="D28" s="6" t="str">
        <f t="shared" si="3"/>
        <v>JUL</v>
      </c>
      <c r="E28" s="6" t="s">
        <v>57</v>
      </c>
      <c r="F28" s="6" t="s">
        <v>113</v>
      </c>
      <c r="G28" s="6">
        <v>400.0</v>
      </c>
      <c r="H28" s="6">
        <v>40.0</v>
      </c>
      <c r="I28" s="6" t="s">
        <v>38</v>
      </c>
      <c r="J28" s="6" t="str">
        <f t="shared" si="4"/>
        <v>Standard Rice</v>
      </c>
    </row>
    <row r="29">
      <c r="A29" s="6" t="s">
        <v>83</v>
      </c>
      <c r="B29" s="6" t="str">
        <f t="shared" si="1"/>
        <v>16</v>
      </c>
      <c r="C29" s="6" t="str">
        <f t="shared" si="2"/>
        <v>ES</v>
      </c>
      <c r="D29" s="6" t="str">
        <f t="shared" si="3"/>
        <v>APR</v>
      </c>
      <c r="E29" s="6" t="s">
        <v>47</v>
      </c>
      <c r="F29" s="6" t="s">
        <v>84</v>
      </c>
      <c r="G29" s="6">
        <v>230.0</v>
      </c>
      <c r="H29" s="6">
        <v>20.0</v>
      </c>
      <c r="I29" s="6" t="s">
        <v>30</v>
      </c>
      <c r="J29" s="6" t="str">
        <f t="shared" si="4"/>
        <v>Standard Rice</v>
      </c>
    </row>
    <row r="30">
      <c r="A30" s="6" t="s">
        <v>114</v>
      </c>
      <c r="B30" s="6" t="str">
        <f t="shared" si="1"/>
        <v>07</v>
      </c>
      <c r="C30" s="6" t="str">
        <f t="shared" si="2"/>
        <v>CA</v>
      </c>
      <c r="D30" s="6" t="str">
        <f t="shared" si="3"/>
        <v>MAR</v>
      </c>
      <c r="E30" s="6" t="s">
        <v>115</v>
      </c>
      <c r="F30" s="6" t="s">
        <v>116</v>
      </c>
      <c r="G30" s="6">
        <v>60.0</v>
      </c>
      <c r="H30" s="6">
        <v>30.0</v>
      </c>
      <c r="I30" s="6" t="s">
        <v>34</v>
      </c>
      <c r="J30" s="6" t="str">
        <f t="shared" si="4"/>
        <v>Standard Rice</v>
      </c>
    </row>
    <row r="31">
      <c r="A31" s="6" t="s">
        <v>117</v>
      </c>
      <c r="B31" s="6" t="str">
        <f t="shared" si="1"/>
        <v>13</v>
      </c>
      <c r="C31" s="6" t="str">
        <f t="shared" si="2"/>
        <v>CA</v>
      </c>
      <c r="D31" s="6" t="str">
        <f t="shared" si="3"/>
        <v>APR</v>
      </c>
      <c r="E31" s="6" t="s">
        <v>118</v>
      </c>
      <c r="F31" s="6" t="s">
        <v>119</v>
      </c>
      <c r="G31" s="6">
        <v>40.0</v>
      </c>
      <c r="H31" s="6">
        <v>10.0</v>
      </c>
      <c r="I31" s="6" t="s">
        <v>38</v>
      </c>
      <c r="J31" s="6" t="str">
        <f t="shared" si="4"/>
        <v>Standard Rice</v>
      </c>
    </row>
    <row r="32">
      <c r="A32" s="6" t="s">
        <v>120</v>
      </c>
      <c r="B32" s="6" t="str">
        <f t="shared" si="1"/>
        <v>24</v>
      </c>
      <c r="C32" s="6" t="str">
        <f t="shared" si="2"/>
        <v>CA</v>
      </c>
      <c r="D32" s="6" t="str">
        <f t="shared" si="3"/>
        <v>MAY</v>
      </c>
      <c r="E32" s="6" t="s">
        <v>106</v>
      </c>
      <c r="F32" s="6" t="s">
        <v>121</v>
      </c>
      <c r="G32" s="6">
        <v>130.0</v>
      </c>
      <c r="H32" s="6">
        <v>5.0</v>
      </c>
      <c r="I32" s="6" t="s">
        <v>30</v>
      </c>
      <c r="J32" s="6" t="str">
        <f t="shared" si="4"/>
        <v>Standard Rice</v>
      </c>
    </row>
    <row r="33">
      <c r="A33" s="6" t="s">
        <v>122</v>
      </c>
      <c r="B33" s="6" t="str">
        <f t="shared" si="1"/>
        <v>02</v>
      </c>
      <c r="C33" s="6" t="str">
        <f t="shared" si="2"/>
        <v>CA</v>
      </c>
      <c r="D33" s="6" t="str">
        <f t="shared" si="3"/>
        <v>DEC</v>
      </c>
      <c r="E33" s="6" t="s">
        <v>123</v>
      </c>
      <c r="F33" s="6" t="s">
        <v>124</v>
      </c>
      <c r="G33" s="6">
        <v>50.0</v>
      </c>
      <c r="H33" s="6">
        <v>50.0</v>
      </c>
      <c r="I33" s="6" t="s">
        <v>34</v>
      </c>
      <c r="J33" s="6" t="str">
        <f t="shared" si="4"/>
        <v>Standard Rice</v>
      </c>
    </row>
    <row r="34">
      <c r="A34" s="6" t="s">
        <v>69</v>
      </c>
      <c r="B34" s="6" t="str">
        <f t="shared" si="1"/>
        <v>17</v>
      </c>
      <c r="C34" s="6" t="str">
        <f t="shared" si="2"/>
        <v>IN</v>
      </c>
      <c r="D34" s="6" t="str">
        <f t="shared" si="3"/>
        <v>JUN</v>
      </c>
      <c r="E34" s="6" t="s">
        <v>28</v>
      </c>
      <c r="F34" s="6" t="s">
        <v>70</v>
      </c>
      <c r="G34" s="6">
        <v>950.0</v>
      </c>
      <c r="H34" s="6">
        <v>25.0</v>
      </c>
      <c r="I34" s="6" t="s">
        <v>30</v>
      </c>
      <c r="J34" s="6" t="str">
        <f t="shared" si="4"/>
        <v>High Price</v>
      </c>
    </row>
    <row r="35">
      <c r="A35" s="6" t="s">
        <v>125</v>
      </c>
      <c r="B35" s="6" t="str">
        <f t="shared" si="1"/>
        <v>09</v>
      </c>
      <c r="C35" s="6" t="str">
        <f t="shared" si="2"/>
        <v>FR</v>
      </c>
      <c r="D35" s="6" t="str">
        <f t="shared" si="3"/>
        <v>JUL</v>
      </c>
      <c r="E35" s="6" t="s">
        <v>126</v>
      </c>
      <c r="F35" s="6" t="s">
        <v>127</v>
      </c>
      <c r="G35" s="6">
        <v>100.0</v>
      </c>
      <c r="H35" s="6">
        <v>20.0</v>
      </c>
      <c r="I35" s="6" t="s">
        <v>88</v>
      </c>
      <c r="J35" s="6" t="str">
        <f t="shared" si="4"/>
        <v>Standard Rice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